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drawings/drawing3.xml" ContentType="application/vnd.openxmlformats-officedocument.drawing+xml"/>
  <Override PartName="/xl/charts/colors2.xml" ContentType="application/vnd.ms-office.chartcolorstyle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Standard Deviation" sheetId="1" state="visible" r:id="rId1"/>
    <sheet name="Linear Regression-C Toolbox" sheetId="2" state="visible" r:id="rId2"/>
    <sheet name="Linear Regression-Local" sheetId="3" state="visible" r:id="rId3"/>
    <sheet name="vis-graph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<sst xmlns="http://schemas.openxmlformats.org/spreadsheetml/2006/main" count="65" uniqueCount="65">
  <si>
    <t>Season</t>
  </si>
  <si>
    <t xml:space="preserve">Start year</t>
  </si>
  <si>
    <t xml:space="preserve">Utah C Hrs</t>
  </si>
  <si>
    <t xml:space="preserve">Average C Hrs</t>
  </si>
  <si>
    <t xml:space="preserve">C Hrs Deviation</t>
  </si>
  <si>
    <t xml:space="preserve">C Hrs Deviation Squared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</si>
  <si>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</si>
  <si>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</si>
  <si>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</si>
  <si>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</si>
  <si>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</si>
  <si>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</si>
  <si>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</si>
  <si>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</si>
  <si>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</si>
  <si>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</si>
  <si>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</si>
  <si>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</si>
  <si>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</si>
  <si>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</si>
  <si>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</si>
  <si>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</si>
  <si>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</si>
  <si>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</si>
  <si>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</si>
  <si>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</si>
  <si>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</si>
  <si>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</si>
  <si>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</si>
  <si>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</si>
  <si>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</si>
  <si>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</si>
  <si>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</si>
  <si>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</si>
  <si>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</si>
  <si>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 xml:space="preserve">Sum of Squared C Hrs Deviation</t>
  </si>
  <si>
    <t xml:space="preserve">N - 1</t>
  </si>
  <si>
    <r>
      <rPr>
        <b/>
        <sz val="11"/>
        <rFont val="Calibri"/>
        <scheme val="minor"/>
      </rPr>
      <t xml:space="preserve">Sum of Squares Divided by </t>
    </r>
    <r>
      <rPr>
        <b/>
        <i/>
        <sz val="11"/>
        <rFont val="Calibri"/>
        <scheme val="minor"/>
      </rPr>
      <t>N</t>
    </r>
    <r>
      <rPr>
        <b/>
        <sz val="11"/>
        <rFont val="Calibri"/>
        <scheme val="minor"/>
      </rPr>
      <t xml:space="preserve"> -1</t>
    </r>
  </si>
  <si>
    <t xml:space="preserve">Take the square root</t>
  </si>
  <si>
    <t xml:space="preserve">Standard Deviation: </t>
  </si>
  <si>
    <t xml:space="preserve">Chill Hours</t>
  </si>
  <si>
    <t xml:space="preserve">Coefficient of Variation:</t>
  </si>
  <si>
    <t>CV</t>
  </si>
  <si>
    <t xml:space="preserve">SMOOTHED REGRESSION</t>
  </si>
  <si>
    <t xml:space="preserve">Average Year</t>
  </si>
  <si>
    <t xml:space="preserve">Yr Deviation</t>
  </si>
  <si>
    <t xml:space="preserve">Deviations Multiplied</t>
  </si>
  <si>
    <t xml:space="preserve">Square distance</t>
  </si>
  <si>
    <t xml:space="preserve">Sum of Multiplied Deviations</t>
  </si>
  <si>
    <t xml:space="preserve">Sum of Squared Distance</t>
  </si>
  <si>
    <t xml:space="preserve">Linear Regression Coefficient</t>
  </si>
  <si>
    <t xml:space="preserve">Slope over time, per year</t>
  </si>
  <si>
    <t xml:space="preserve">Chill hours per year</t>
  </si>
  <si>
    <t xml:space="preserve">REGRESSION - FIRST STEP ONLY</t>
  </si>
  <si>
    <t xml:space="preserve">REGRESSION - SECOND STEP ONLY</t>
  </si>
  <si>
    <t xml:space="preserve">does the </t>
  </si>
  <si>
    <t xml:space="preserve">Standard D</t>
  </si>
  <si>
    <t xml:space="preserve">+2 SD</t>
  </si>
  <si>
    <t xml:space="preserve">+1 SD</t>
  </si>
  <si>
    <t xml:space="preserve">Utah Chill Hours</t>
  </si>
  <si>
    <t xml:space="preserve">-1 SD</t>
  </si>
  <si>
    <t xml:space="preserve">-2 SD</t>
  </si>
  <si>
    <t xml:space="preserve">per yr until 2040</t>
  </si>
  <si>
    <t xml:space="preserve">per 5 years</t>
  </si>
  <si>
    <t>2040+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</si>
</sst>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name val="Calibri"/>
      <scheme val="minor"/>
    </font>
    <font>
      <b/>
      <sz val="11.000000"/>
      <name val="Calibri"/>
      <scheme val="minor"/>
    </font>
    <font>
      <sz val="10.000000"/>
      <color theme="1"/>
      <name val="Open Sans"/>
    </font>
    <font>
      <b/>
      <sz val="10.000000"/>
      <color theme="1"/>
      <name val="Open Sans"/>
    </font>
    <font>
      <sz val="11.000000"/>
      <color theme="1"/>
      <name val="Open Sans"/>
    </font>
    <font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D1E2C4"/>
        <bgColor rgb="FFD1E2C4"/>
      </patternFill>
    </fill>
  </fills>
  <borders count="1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8">
    <xf fontId="0" fillId="0" borderId="0" numFmtId="0" xfId="0"/>
    <xf fontId="0" fillId="0" borderId="0" numFmtId="4" xfId="0" applyNumberFormat="1"/>
    <xf fontId="1" fillId="0" borderId="0" numFmtId="0" xfId="0" applyFont="1" applyAlignment="1">
      <alignment horizontal="left" vertical="top"/>
    </xf>
    <xf fontId="1" fillId="0" borderId="0" numFmtId="2" xfId="0" applyNumberFormat="1" applyFont="1" applyAlignment="1">
      <alignment horizontal="left" vertical="top"/>
    </xf>
    <xf fontId="1" fillId="0" borderId="0" numFmtId="4" xfId="0" applyNumberFormat="1" applyFont="1" applyAlignment="1">
      <alignment horizontal="left" vertical="top"/>
    </xf>
    <xf fontId="0" fillId="0" borderId="0" numFmtId="0" xfId="0" applyAlignment="1">
      <alignment horizontal="left" vertical="top"/>
    </xf>
    <xf fontId="0" fillId="0" borderId="0" numFmtId="0" xfId="0" applyAlignment="1">
      <alignment horizontal="right" vertical="top"/>
    </xf>
    <xf fontId="0" fillId="0" borderId="0" numFmtId="2" xfId="0" applyNumberFormat="1" applyAlignment="1">
      <alignment horizontal="right" vertical="top"/>
    </xf>
    <xf fontId="1" fillId="0" borderId="0" numFmtId="4" xfId="0" applyNumberFormat="1" applyFont="1" applyAlignment="1">
      <alignment horizontal="right" vertical="top"/>
    </xf>
    <xf fontId="0" fillId="0" borderId="0" numFmtId="2" xfId="0" applyNumberFormat="1" applyAlignment="1">
      <alignment horizontal="right" vertical="top"/>
      <protection hidden="0" locked="1"/>
    </xf>
    <xf fontId="1" fillId="0" borderId="0" numFmtId="0" xfId="0" applyFont="1" applyAlignment="1">
      <alignment horizontal="right" vertical="top"/>
    </xf>
    <xf fontId="0" fillId="0" borderId="1" numFmtId="0" xfId="0" applyBorder="1"/>
    <xf fontId="0" fillId="0" borderId="0" numFmtId="2" xfId="0" applyNumberFormat="1"/>
    <xf fontId="1" fillId="0" borderId="2" numFmtId="0" xfId="0" applyFont="1" applyBorder="1"/>
    <xf fontId="1" fillId="0" borderId="2" numFmtId="4" xfId="0" applyNumberFormat="1" applyFont="1" applyBorder="1"/>
    <xf fontId="0" fillId="0" borderId="0" numFmtId="0" xfId="0"/>
    <xf fontId="0" fillId="0" borderId="3" numFmtId="0" xfId="0" applyBorder="1"/>
    <xf fontId="0" fillId="0" borderId="4" numFmtId="4" xfId="0" applyNumberFormat="1" applyBorder="1"/>
    <xf fontId="1" fillId="0" borderId="4" numFmtId="4" xfId="0" applyNumberFormat="1" applyFont="1" applyBorder="1"/>
    <xf fontId="1" fillId="2" borderId="5" numFmtId="0" xfId="0" applyFont="1" applyFill="1" applyBorder="1"/>
    <xf fontId="1" fillId="2" borderId="6" numFmtId="4" xfId="0" applyNumberFormat="1" applyFont="1" applyFill="1" applyBorder="1"/>
    <xf fontId="1" fillId="2" borderId="7" numFmtId="0" xfId="0" applyFont="1" applyFill="1" applyBorder="1"/>
    <xf fontId="1" fillId="2" borderId="8" numFmtId="0" xfId="0" applyFont="1" applyFill="1" applyBorder="1"/>
    <xf fontId="1" fillId="2" borderId="1" numFmtId="10" xfId="0" applyNumberFormat="1" applyFont="1" applyFill="1" applyBorder="1"/>
    <xf fontId="1" fillId="2" borderId="9" numFmtId="10" xfId="0" applyNumberFormat="1" applyFont="1" applyFill="1" applyBorder="1"/>
    <xf fontId="1" fillId="0" borderId="0" numFmtId="0" xfId="0" applyFont="1" applyAlignment="1">
      <alignment horizontal="center"/>
    </xf>
    <xf fontId="1" fillId="0" borderId="0" numFmtId="3" xfId="0" applyNumberFormat="1" applyFont="1" applyAlignment="1">
      <alignment horizontal="left" vertical="top"/>
    </xf>
    <xf fontId="0" fillId="0" borderId="0" numFmtId="0" xfId="0" applyAlignment="1">
      <alignment horizontal="right" vertical="top"/>
      <protection hidden="0" locked="1"/>
    </xf>
    <xf fontId="1" fillId="0" borderId="0" numFmtId="3" xfId="0" applyNumberFormat="1" applyFont="1" applyAlignment="1">
      <alignment horizontal="right" vertical="top"/>
    </xf>
    <xf fontId="0" fillId="0" borderId="0" numFmtId="0" xfId="0">
      <protection hidden="0" locked="1"/>
    </xf>
    <xf fontId="0" fillId="0" borderId="1" numFmtId="4" xfId="0" applyNumberFormat="1" applyBorder="1"/>
    <xf fontId="0" fillId="0" borderId="1" numFmtId="3" xfId="0" applyNumberFormat="1" applyBorder="1"/>
    <xf fontId="1" fillId="0" borderId="5" numFmtId="0" xfId="0" applyFont="1" applyBorder="1"/>
    <xf fontId="1" fillId="0" borderId="7" numFmtId="0" xfId="0" applyFont="1" applyBorder="1"/>
    <xf fontId="0" fillId="0" borderId="10" numFmtId="4" xfId="0" applyNumberFormat="1" applyBorder="1"/>
    <xf fontId="1" fillId="0" borderId="0" numFmtId="4" xfId="0" applyNumberFormat="1" applyFont="1"/>
    <xf fontId="1" fillId="0" borderId="7" numFmtId="3" xfId="0" applyNumberFormat="1" applyFont="1" applyBorder="1"/>
    <xf fontId="0" fillId="0" borderId="8" numFmtId="0" xfId="0" applyBorder="1"/>
    <xf fontId="0" fillId="0" borderId="9" numFmtId="0" xfId="0" applyBorder="1"/>
    <xf fontId="0" fillId="0" borderId="8" numFmtId="4" xfId="0" applyNumberFormat="1" applyBorder="1"/>
    <xf fontId="0" fillId="0" borderId="9" numFmtId="3" xfId="0" applyNumberFormat="1" applyBorder="1"/>
    <xf fontId="0" fillId="0" borderId="11" numFmtId="4" xfId="0" applyNumberFormat="1" applyBorder="1"/>
    <xf fontId="0" fillId="0" borderId="11" numFmtId="3" xfId="0" applyNumberFormat="1" applyBorder="1"/>
    <xf fontId="1" fillId="0" borderId="0" numFmtId="4" xfId="0" applyNumberFormat="1" applyFont="1" applyAlignment="1">
      <alignment wrapText="1"/>
    </xf>
    <xf fontId="1" fillId="0" borderId="7" numFmtId="4" xfId="0" applyNumberFormat="1" applyFont="1" applyBorder="1"/>
    <xf fontId="0" fillId="0" borderId="9" numFmtId="3" xfId="0" applyNumberFormat="1" applyBorder="1" applyAlignment="1">
      <alignment horizontal="right"/>
    </xf>
    <xf fontId="0" fillId="0" borderId="0" numFmtId="3" xfId="0" applyNumberFormat="1"/>
    <xf fontId="1" fillId="0" borderId="0" numFmtId="0" xfId="0" applyFont="1" applyAlignment="1">
      <alignment horizontal="left"/>
    </xf>
    <xf fontId="1" fillId="0" borderId="0" numFmtId="0" xfId="0" applyFont="1"/>
    <xf fontId="1" fillId="0" borderId="5" numFmtId="4" xfId="0" applyNumberFormat="1" applyFont="1" applyBorder="1"/>
    <xf fontId="1" fillId="3" borderId="5" numFmtId="4" xfId="0" applyNumberFormat="1" applyFont="1" applyFill="1" applyBorder="1" applyAlignment="1">
      <alignment wrapText="1"/>
    </xf>
    <xf fontId="1" fillId="3" borderId="7" numFmtId="4" xfId="0" applyNumberFormat="1" applyFont="1" applyFill="1" applyBorder="1"/>
    <xf fontId="0" fillId="0" borderId="0" numFmtId="0" xfId="0" applyAlignment="1">
      <alignment horizontal="left"/>
    </xf>
    <xf fontId="2" fillId="0" borderId="0" numFmtId="0" xfId="0" applyFont="1"/>
    <xf fontId="3" fillId="0" borderId="0" numFmtId="0" xfId="0" applyFont="1"/>
    <xf fontId="2" fillId="0" borderId="6" numFmtId="0" xfId="0" applyFont="1" applyBorder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0" numFmtId="3" xfId="0" applyNumberFormat="1" applyFont="1"/>
    <xf fontId="3" fillId="0" borderId="0" numFmtId="3" xfId="0" applyNumberFormat="1" applyFont="1" quotePrefix="1"/>
    <xf fontId="4" fillId="0" borderId="0" numFmtId="3" xfId="0" applyNumberFormat="1" applyFont="1"/>
    <xf fontId="3" fillId="0" borderId="0" numFmtId="3" xfId="0" applyNumberFormat="1" applyFont="1"/>
    <xf fontId="5" fillId="0" borderId="0" numFmtId="3" xfId="0" applyNumberFormat="1" applyFont="1">
      <protection hidden="0" locked="1"/>
    </xf>
    <xf fontId="2" fillId="0" borderId="0" numFmtId="2" xfId="0" applyNumberFormat="1" applyFont="1"/>
    <xf fontId="2" fillId="0" borderId="0" numFmtId="0" xfId="0" applyFont="1">
      <protection hidden="0" locked="1"/>
    </xf>
    <xf fontId="2" fillId="0" borderId="0" numFmtId="10" xfId="2" applyNumberFormat="1" applyFont="1" quotePrefix="1"/>
    <xf fontId="2" fillId="0" borderId="0" numFmtId="10" xfId="2" applyNumberFormat="1" applyFont="1"/>
    <xf fontId="2" fillId="0" borderId="0" numFmtId="10" xfId="1" applyNumberFormat="1" applyFont="1"/>
    <xf fontId="3" fillId="0" borderId="0" numFmt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'Linear Regression-Local'!$C$1</c:f>
              <c:strCache>
                <c:ptCount val="1"/>
                <c:pt idx="0">
                  <c:v>Utah C Hrs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strRef>
              <c:f>'Linear Regression-Local'!$A$2:$A$30</c:f>
              <c:strCache>
                <c:ptCount val="29"/>
                <c:pt idx="0">
                  <c:v>1997-1998</c:v>
                </c:pt>
                <c:pt idx="1">
                  <c:v>1998-1999</c:v>
                </c:pt>
                <c:pt idx="2">
                  <c:v>1999-2000</c:v>
                </c:pt>
                <c:pt idx="3">
                  <c:v>2000-2001</c:v>
                </c:pt>
                <c:pt idx="4">
                  <c:v>2001-2002</c:v>
                </c:pt>
                <c:pt idx="5">
                  <c:v>2002-2003</c:v>
                </c:pt>
                <c:pt idx="6">
                  <c:v>2003-2004</c:v>
                </c:pt>
                <c:pt idx="7">
                  <c:v>2004-2005</c:v>
                </c:pt>
                <c:pt idx="8">
                  <c:v>2005-2006</c:v>
                </c:pt>
                <c:pt idx="9">
                  <c:v>2006-2007</c:v>
                </c:pt>
                <c:pt idx="10">
                  <c:v>2007-2008</c:v>
                </c:pt>
                <c:pt idx="11">
                  <c:v>2008-2009</c:v>
                </c:pt>
                <c:pt idx="12">
                  <c:v>2009-2010</c:v>
                </c:pt>
                <c:pt idx="13">
                  <c:v>2010-2011</c:v>
                </c:pt>
                <c:pt idx="14">
                  <c:v>2011-2012</c:v>
                </c:pt>
                <c:pt idx="15">
                  <c:v>2012-2013</c:v>
                </c:pt>
                <c:pt idx="16">
                  <c:v>2013-2014</c:v>
                </c:pt>
                <c:pt idx="17">
                  <c:v>2014-2015</c:v>
                </c:pt>
                <c:pt idx="18">
                  <c:v>2015-2016</c:v>
                </c:pt>
                <c:pt idx="19">
                  <c:v>2016-2017</c:v>
                </c:pt>
                <c:pt idx="20">
                  <c:v>2017-2018</c:v>
                </c:pt>
                <c:pt idx="21">
                  <c:v>2018-2019</c:v>
                </c:pt>
                <c:pt idx="22">
                  <c:v>2019-2020</c:v>
                </c:pt>
                <c:pt idx="23">
                  <c:v>2020-2021</c:v>
                </c:pt>
                <c:pt idx="24">
                  <c:v>2021-2022</c:v>
                </c:pt>
                <c:pt idx="25">
                  <c:v>2022-2023</c:v>
                </c:pt>
                <c:pt idx="26">
                  <c:v>2023-2024</c:v>
                </c:pt>
                <c:pt idx="27">
                  <c:v>2024-2025</c:v>
                </c:pt>
                <c:pt idx="28">
                  <c:v>2025-2026</c:v>
                </c:pt>
              </c:strCache>
            </c:strRef>
          </c:cat>
          <c:val>
            <c:numRef>
              <c:f>'Linear Regression-Local'!$C$2:$C$30</c:f>
              <c:numCache>
                <c:formatCode>General</c:formatCode>
                <c:ptCount val="29"/>
                <c:pt idx="0">
                  <c:v>1474</c:v>
                </c:pt>
                <c:pt idx="1">
                  <c:v>849</c:v>
                </c:pt>
                <c:pt idx="2">
                  <c:v>862</c:v>
                </c:pt>
                <c:pt idx="3">
                  <c:v>1017</c:v>
                </c:pt>
                <c:pt idx="4">
                  <c:v>778</c:v>
                </c:pt>
                <c:pt idx="5">
                  <c:v>1146</c:v>
                </c:pt>
                <c:pt idx="6">
                  <c:v>839</c:v>
                </c:pt>
                <c:pt idx="7">
                  <c:v>720</c:v>
                </c:pt>
                <c:pt idx="8">
                  <c:v>1062</c:v>
                </c:pt>
                <c:pt idx="9">
                  <c:v>824</c:v>
                </c:pt>
                <c:pt idx="10">
                  <c:v>983</c:v>
                </c:pt>
                <c:pt idx="11">
                  <c:v>1052</c:v>
                </c:pt>
                <c:pt idx="12">
                  <c:v>983</c:v>
                </c:pt>
                <c:pt idx="13">
                  <c:v>870</c:v>
                </c:pt>
                <c:pt idx="14">
                  <c:v>1090</c:v>
                </c:pt>
                <c:pt idx="15">
                  <c:v>1333</c:v>
                </c:pt>
                <c:pt idx="16">
                  <c:v>889</c:v>
                </c:pt>
                <c:pt idx="17">
                  <c:v>1084</c:v>
                </c:pt>
                <c:pt idx="18">
                  <c:v>827</c:v>
                </c:pt>
                <c:pt idx="19">
                  <c:v>1020</c:v>
                </c:pt>
                <c:pt idx="20">
                  <c:v>884</c:v>
                </c:pt>
                <c:pt idx="21">
                  <c:v>1300</c:v>
                </c:pt>
                <c:pt idx="22">
                  <c:v>1170</c:v>
                </c:pt>
                <c:pt idx="23">
                  <c:v>1015</c:v>
                </c:pt>
                <c:pt idx="24">
                  <c:v>791</c:v>
                </c:pt>
                <c:pt idx="25">
                  <c:v>961</c:v>
                </c:pt>
                <c:pt idx="26">
                  <c:v>1037</c:v>
                </c:pt>
                <c:pt idx="27">
                  <c:v>811</c:v>
                </c:pt>
                <c:pt idx="28">
                  <c:v>910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1001"/>
        <c:axId val="1002"/>
      </c:lineChart>
      <c:catAx>
        <c:axId val="1001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2"/>
        <c:crosses val="autoZero"/>
        <c:auto val="1"/>
        <c:lblAlgn val="ctr"/>
        <c:lblOffset val="100"/>
        <c:noMultiLvlLbl val="0"/>
      </c:catAx>
      <c:valAx>
        <c:axId val="100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94191" y="11745383"/>
      <a:ext cx="8418688" cy="386468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'vis-graph'!$A$5</c:f>
              <c:strCache>
                <c:ptCount val="1"/>
                <c:pt idx="0">
                  <c:v>+2 SD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 cmpd="sng" algn="ctr">
              <a:solidFill>
                <a:srgbClr val="778A35"/>
              </a:solidFill>
              <a:prstDash val="solid"/>
              <a:round/>
            </a:ln>
          </c:spPr>
          <c:marker>
            <c:symbol val="none"/>
          </c:marker>
          <c:cat>
            <c:strRef>
              <c:f>'vis-graph'!$B$4:$AK$4</c:f>
              <c:strCache>
                <c:ptCount val="3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2030</c:v>
                </c:pt>
                <c:pt idx="27">
                  <c:v>2035</c:v>
                </c:pt>
                <c:pt idx="28">
                  <c:v>2040</c:v>
                </c:pt>
                <c:pt idx="29">
                  <c:v>2045</c:v>
                </c:pt>
                <c:pt idx="30">
                  <c:v>2050</c:v>
                </c:pt>
                <c:pt idx="31">
                  <c:v>2055</c:v>
                </c:pt>
                <c:pt idx="32">
                  <c:v>2060</c:v>
                </c:pt>
                <c:pt idx="33">
                  <c:v>2065</c:v>
                </c:pt>
                <c:pt idx="34">
                  <c:v>2070</c:v>
                </c:pt>
                <c:pt idx="35">
                  <c:v>2075</c:v>
                </c:pt>
              </c:strCache>
            </c:strRef>
          </c:cat>
          <c:val>
            <c:numRef>
              <c:f>'vis-graph'!$B$5:$AK$5</c:f>
              <c:numCache>
                <c:formatCode>#,##0</c:formatCode>
                <c:ptCount val="36"/>
                <c:pt idx="0">
                  <c:v>1372.04</c:v>
                </c:pt>
                <c:pt idx="1">
                  <c:v>1367.76</c:v>
                </c:pt>
                <c:pt idx="2">
                  <c:v>1363.48</c:v>
                </c:pt>
                <c:pt idx="3">
                  <c:v>1359.2</c:v>
                </c:pt>
                <c:pt idx="4">
                  <c:v>1354.92</c:v>
                </c:pt>
                <c:pt idx="5">
                  <c:v>1350.64</c:v>
                </c:pt>
                <c:pt idx="6">
                  <c:v>1346.3600000000001</c:v>
                </c:pt>
                <c:pt idx="7">
                  <c:v>1342.0800000000002</c:v>
                </c:pt>
                <c:pt idx="8">
                  <c:v>1337.8000000000002</c:v>
                </c:pt>
                <c:pt idx="9">
                  <c:v>1333.5200000000002</c:v>
                </c:pt>
                <c:pt idx="10">
                  <c:v>1329.2400000000002</c:v>
                </c:pt>
                <c:pt idx="11">
                  <c:v>1324.9600000000003</c:v>
                </c:pt>
                <c:pt idx="12">
                  <c:v>1320.6800000000003</c:v>
                </c:pt>
                <c:pt idx="13">
                  <c:v>1316.4000000000003</c:v>
                </c:pt>
                <c:pt idx="14">
                  <c:v>1312.1200000000003</c:v>
                </c:pt>
                <c:pt idx="15">
                  <c:v>1307.8400000000004</c:v>
                </c:pt>
                <c:pt idx="16">
                  <c:v>1303.5600000000004</c:v>
                </c:pt>
                <c:pt idx="17">
                  <c:v>1299.2800000000004</c:v>
                </c:pt>
                <c:pt idx="18">
                  <c:v>1295.0000000000005</c:v>
                </c:pt>
                <c:pt idx="19">
                  <c:v>1290.7200000000005</c:v>
                </c:pt>
                <c:pt idx="20">
                  <c:v>1286.4400000000005</c:v>
                </c:pt>
                <c:pt idx="21">
                  <c:v>1282.1600000000005</c:v>
                </c:pt>
                <c:pt idx="22">
                  <c:v>1277.8800000000006</c:v>
                </c:pt>
                <c:pt idx="23">
                  <c:v>1273.6000000000006</c:v>
                </c:pt>
                <c:pt idx="24">
                  <c:v>1269.3200000000006</c:v>
                </c:pt>
                <c:pt idx="25">
                  <c:v>1265.04</c:v>
                </c:pt>
                <c:pt idx="26">
                  <c:v>1242.7450000000001</c:v>
                </c:pt>
                <c:pt idx="27">
                  <c:v>1220.9962275</c:v>
                </c:pt>
                <c:pt idx="28">
                  <c:v>1199.78029992625</c:v>
                </c:pt>
                <c:pt idx="29">
                  <c:v>1162.8229118044767</c:v>
                </c:pt>
                <c:pt idx="30">
                  <c:v>1127.4824094130308</c:v>
                </c:pt>
                <c:pt idx="31">
                  <c:v>1093.6880540012107</c:v>
                </c:pt>
                <c:pt idx="32">
                  <c:v>1061.3722016386578</c:v>
                </c:pt>
                <c:pt idx="33">
                  <c:v>1030.4701678169665</c:v>
                </c:pt>
                <c:pt idx="34">
                  <c:v>1000.9200979749744</c:v>
                </c:pt>
                <c:pt idx="35">
                  <c:v>972.6628436885692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'vis-graph'!$A$6</c:f>
              <c:strCache>
                <c:ptCount val="1"/>
                <c:pt idx="0">
                  <c:v>+1 SD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 cmpd="sng" algn="ctr">
              <a:solidFill>
                <a:srgbClr val="BEDF1D"/>
              </a:solidFill>
              <a:prstDash val="solid"/>
              <a:round/>
            </a:ln>
          </c:spPr>
          <c:marker>
            <c:symbol val="none"/>
          </c:marker>
          <c:cat>
            <c:strRef>
              <c:f>'vis-graph'!$B$4:$AK$4</c:f>
              <c:strCache>
                <c:ptCount val="3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2030</c:v>
                </c:pt>
                <c:pt idx="27">
                  <c:v>2035</c:v>
                </c:pt>
                <c:pt idx="28">
                  <c:v>2040</c:v>
                </c:pt>
                <c:pt idx="29">
                  <c:v>2045</c:v>
                </c:pt>
                <c:pt idx="30">
                  <c:v>2050</c:v>
                </c:pt>
                <c:pt idx="31">
                  <c:v>2055</c:v>
                </c:pt>
                <c:pt idx="32">
                  <c:v>2060</c:v>
                </c:pt>
                <c:pt idx="33">
                  <c:v>2065</c:v>
                </c:pt>
                <c:pt idx="34">
                  <c:v>2070</c:v>
                </c:pt>
                <c:pt idx="35">
                  <c:v>2075</c:v>
                </c:pt>
              </c:strCache>
            </c:strRef>
          </c:cat>
          <c:val>
            <c:numRef>
              <c:f>'vis-graph'!$B$6:$AK$6</c:f>
              <c:numCache>
                <c:formatCode>#,##0</c:formatCode>
                <c:ptCount val="36"/>
                <c:pt idx="0">
                  <c:v>1194.52</c:v>
                </c:pt>
                <c:pt idx="1">
                  <c:v>1190.24</c:v>
                </c:pt>
                <c:pt idx="2">
                  <c:v>1185.96</c:v>
                </c:pt>
                <c:pt idx="3">
                  <c:v>1181.68</c:v>
                </c:pt>
                <c:pt idx="4">
                  <c:v>1177.4</c:v>
                </c:pt>
                <c:pt idx="5">
                  <c:v>1173.1200000000001</c:v>
                </c:pt>
                <c:pt idx="6">
                  <c:v>1168.8400000000001</c:v>
                </c:pt>
                <c:pt idx="7">
                  <c:v>1164.5600000000002</c:v>
                </c:pt>
                <c:pt idx="8">
                  <c:v>1160.2800000000002</c:v>
                </c:pt>
                <c:pt idx="9">
                  <c:v>1156.0000000000002</c:v>
                </c:pt>
                <c:pt idx="10">
                  <c:v>1151.7200000000003</c:v>
                </c:pt>
                <c:pt idx="11">
                  <c:v>1147.4400000000003</c:v>
                </c:pt>
                <c:pt idx="12">
                  <c:v>1143.1600000000003</c:v>
                </c:pt>
                <c:pt idx="13">
                  <c:v>1138.8800000000003</c:v>
                </c:pt>
                <c:pt idx="14">
                  <c:v>1134.6000000000004</c:v>
                </c:pt>
                <c:pt idx="15">
                  <c:v>1130.3200000000004</c:v>
                </c:pt>
                <c:pt idx="16">
                  <c:v>1126.0400000000004</c:v>
                </c:pt>
                <c:pt idx="17">
                  <c:v>1121.7600000000004</c:v>
                </c:pt>
                <c:pt idx="18">
                  <c:v>1117.4800000000005</c:v>
                </c:pt>
                <c:pt idx="19">
                  <c:v>1113.2000000000005</c:v>
                </c:pt>
                <c:pt idx="20">
                  <c:v>1108.9200000000005</c:v>
                </c:pt>
                <c:pt idx="21">
                  <c:v>1104.6400000000006</c:v>
                </c:pt>
                <c:pt idx="22">
                  <c:v>1100.3600000000006</c:v>
                </c:pt>
                <c:pt idx="23">
                  <c:v>1096.0800000000006</c:v>
                </c:pt>
                <c:pt idx="24">
                  <c:v>1091.8000000000006</c:v>
                </c:pt>
                <c:pt idx="25">
                  <c:v>1087.52</c:v>
                </c:pt>
                <c:pt idx="26">
                  <c:v>1065.2250000000001</c:v>
                </c:pt>
                <c:pt idx="27">
                  <c:v>1043.4762275</c:v>
                </c:pt>
                <c:pt idx="28">
                  <c:v>1022.2602999262501</c:v>
                </c:pt>
                <c:pt idx="29">
                  <c:v>985.3029118044767</c:v>
                </c:pt>
                <c:pt idx="30">
                  <c:v>949.9624094130309</c:v>
                </c:pt>
                <c:pt idx="31">
                  <c:v>916.1680540012107</c:v>
                </c:pt>
                <c:pt idx="32">
                  <c:v>883.8522016386578</c:v>
                </c:pt>
                <c:pt idx="33">
                  <c:v>852.9501678169665</c:v>
                </c:pt>
                <c:pt idx="34">
                  <c:v>823.4000979749743</c:v>
                </c:pt>
                <c:pt idx="35">
                  <c:v>795.1428436885692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'vis-graph'!$A$7</c:f>
              <c:strCache>
                <c:ptCount val="1"/>
                <c:pt idx="0">
                  <c:v>Utah Chill Hours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none"/>
          </c:marker>
          <c:cat>
            <c:strRef>
              <c:f>'vis-graph'!$B$4:$AK$4</c:f>
              <c:strCache>
                <c:ptCount val="3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2030</c:v>
                </c:pt>
                <c:pt idx="27">
                  <c:v>2035</c:v>
                </c:pt>
                <c:pt idx="28">
                  <c:v>2040</c:v>
                </c:pt>
                <c:pt idx="29">
                  <c:v>2045</c:v>
                </c:pt>
                <c:pt idx="30">
                  <c:v>2050</c:v>
                </c:pt>
                <c:pt idx="31">
                  <c:v>2055</c:v>
                </c:pt>
                <c:pt idx="32">
                  <c:v>2060</c:v>
                </c:pt>
                <c:pt idx="33">
                  <c:v>2065</c:v>
                </c:pt>
                <c:pt idx="34">
                  <c:v>2070</c:v>
                </c:pt>
                <c:pt idx="35">
                  <c:v>2075</c:v>
                </c:pt>
              </c:strCache>
            </c:strRef>
          </c:cat>
          <c:val>
            <c:numRef>
              <c:f>'vis-graph'!$B$7:$AK$7</c:f>
              <c:numCache>
                <c:formatCode>#,##0</c:formatCode>
                <c:ptCount val="36"/>
                <c:pt idx="0">
                  <c:v>1017</c:v>
                </c:pt>
                <c:pt idx="1">
                  <c:v>778</c:v>
                </c:pt>
                <c:pt idx="2">
                  <c:v>1146</c:v>
                </c:pt>
                <c:pt idx="3">
                  <c:v>839</c:v>
                </c:pt>
                <c:pt idx="4">
                  <c:v>720</c:v>
                </c:pt>
                <c:pt idx="5">
                  <c:v>1062</c:v>
                </c:pt>
                <c:pt idx="6">
                  <c:v>824</c:v>
                </c:pt>
                <c:pt idx="7">
                  <c:v>983</c:v>
                </c:pt>
                <c:pt idx="8">
                  <c:v>1052</c:v>
                </c:pt>
                <c:pt idx="9">
                  <c:v>983</c:v>
                </c:pt>
                <c:pt idx="10">
                  <c:v>870</c:v>
                </c:pt>
                <c:pt idx="11">
                  <c:v>1090</c:v>
                </c:pt>
                <c:pt idx="12">
                  <c:v>1333</c:v>
                </c:pt>
                <c:pt idx="13">
                  <c:v>889</c:v>
                </c:pt>
                <c:pt idx="14">
                  <c:v>1084</c:v>
                </c:pt>
                <c:pt idx="15">
                  <c:v>827</c:v>
                </c:pt>
                <c:pt idx="16">
                  <c:v>1020</c:v>
                </c:pt>
                <c:pt idx="17">
                  <c:v>884</c:v>
                </c:pt>
                <c:pt idx="18">
                  <c:v>1300</c:v>
                </c:pt>
                <c:pt idx="19">
                  <c:v>1170</c:v>
                </c:pt>
                <c:pt idx="20">
                  <c:v>1015</c:v>
                </c:pt>
                <c:pt idx="21">
                  <c:v>791</c:v>
                </c:pt>
                <c:pt idx="22">
                  <c:v>961</c:v>
                </c:pt>
                <c:pt idx="23">
                  <c:v>1037</c:v>
                </c:pt>
                <c:pt idx="24">
                  <c:v>811</c:v>
                </c:pt>
                <c:pt idx="25">
                  <c:v>910</c:v>
                </c:pt>
                <c:pt idx="26">
                  <c:v>887.705</c:v>
                </c:pt>
                <c:pt idx="27">
                  <c:v>865.9562275000001</c:v>
                </c:pt>
                <c:pt idx="28">
                  <c:v>844.7402999262501</c:v>
                </c:pt>
                <c:pt idx="29">
                  <c:v>807.7829118044767</c:v>
                </c:pt>
                <c:pt idx="30">
                  <c:v>772.4424094130309</c:v>
                </c:pt>
                <c:pt idx="31">
                  <c:v>738.6480540012108</c:v>
                </c:pt>
                <c:pt idx="32">
                  <c:v>706.3322016386578</c:v>
                </c:pt>
                <c:pt idx="33">
                  <c:v>675.4301678169666</c:v>
                </c:pt>
                <c:pt idx="34">
                  <c:v>645.8800979749743</c:v>
                </c:pt>
                <c:pt idx="35">
                  <c:v>617.6228436885692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'vis-graph'!$A$8</c:f>
              <c:strCache>
                <c:ptCount val="1"/>
                <c:pt idx="0">
                  <c:v>-1 SD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28575" cap="rnd" cmpd="sng" algn="ctr">
              <a:solidFill>
                <a:srgbClr val="BEDF1D"/>
              </a:solidFill>
              <a:prstDash val="solid"/>
              <a:round/>
            </a:ln>
          </c:spPr>
          <c:marker>
            <c:symbol val="none"/>
          </c:marker>
          <c:cat>
            <c:strRef>
              <c:f>'vis-graph'!$B$4:$AK$4</c:f>
              <c:strCache>
                <c:ptCount val="3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2030</c:v>
                </c:pt>
                <c:pt idx="27">
                  <c:v>2035</c:v>
                </c:pt>
                <c:pt idx="28">
                  <c:v>2040</c:v>
                </c:pt>
                <c:pt idx="29">
                  <c:v>2045</c:v>
                </c:pt>
                <c:pt idx="30">
                  <c:v>2050</c:v>
                </c:pt>
                <c:pt idx="31">
                  <c:v>2055</c:v>
                </c:pt>
                <c:pt idx="32">
                  <c:v>2060</c:v>
                </c:pt>
                <c:pt idx="33">
                  <c:v>2065</c:v>
                </c:pt>
                <c:pt idx="34">
                  <c:v>2070</c:v>
                </c:pt>
                <c:pt idx="35">
                  <c:v>2075</c:v>
                </c:pt>
              </c:strCache>
            </c:strRef>
          </c:cat>
          <c:val>
            <c:numRef>
              <c:f>'vis-graph'!$B$8:$AK$8</c:f>
              <c:numCache>
                <c:formatCode>#,##0</c:formatCode>
                <c:ptCount val="36"/>
                <c:pt idx="0">
                  <c:v>839.48</c:v>
                </c:pt>
                <c:pt idx="1">
                  <c:v>835.2</c:v>
                </c:pt>
                <c:pt idx="2">
                  <c:v>830.9200000000001</c:v>
                </c:pt>
                <c:pt idx="3">
                  <c:v>826.6400000000001</c:v>
                </c:pt>
                <c:pt idx="4">
                  <c:v>822.3600000000001</c:v>
                </c:pt>
                <c:pt idx="5">
                  <c:v>818.0800000000002</c:v>
                </c:pt>
                <c:pt idx="6">
                  <c:v>813.8000000000002</c:v>
                </c:pt>
                <c:pt idx="7">
                  <c:v>809.5200000000002</c:v>
                </c:pt>
                <c:pt idx="8">
                  <c:v>805.2400000000002</c:v>
                </c:pt>
                <c:pt idx="9">
                  <c:v>800.9600000000003</c:v>
                </c:pt>
                <c:pt idx="10">
                  <c:v>796.6800000000003</c:v>
                </c:pt>
                <c:pt idx="11">
                  <c:v>792.4000000000003</c:v>
                </c:pt>
                <c:pt idx="12">
                  <c:v>788.1200000000003</c:v>
                </c:pt>
                <c:pt idx="13">
                  <c:v>783.8400000000004</c:v>
                </c:pt>
                <c:pt idx="14">
                  <c:v>779.5600000000004</c:v>
                </c:pt>
                <c:pt idx="15">
                  <c:v>775.2800000000004</c:v>
                </c:pt>
                <c:pt idx="16">
                  <c:v>771.0000000000005</c:v>
                </c:pt>
                <c:pt idx="17">
                  <c:v>766.7200000000005</c:v>
                </c:pt>
                <c:pt idx="18">
                  <c:v>762.4400000000005</c:v>
                </c:pt>
                <c:pt idx="19">
                  <c:v>758.1600000000005</c:v>
                </c:pt>
                <c:pt idx="20">
                  <c:v>753.8800000000006</c:v>
                </c:pt>
                <c:pt idx="21">
                  <c:v>749.6000000000006</c:v>
                </c:pt>
                <c:pt idx="22">
                  <c:v>745.3200000000006</c:v>
                </c:pt>
                <c:pt idx="23">
                  <c:v>741.0400000000006</c:v>
                </c:pt>
                <c:pt idx="24">
                  <c:v>736.7600000000007</c:v>
                </c:pt>
                <c:pt idx="25">
                  <c:v>732.48</c:v>
                </c:pt>
                <c:pt idx="26">
                  <c:v>710.1850000000001</c:v>
                </c:pt>
                <c:pt idx="27">
                  <c:v>688.4362275000001</c:v>
                </c:pt>
                <c:pt idx="28">
                  <c:v>667.2202999262502</c:v>
                </c:pt>
                <c:pt idx="29">
                  <c:v>630.2629118044767</c:v>
                </c:pt>
                <c:pt idx="30">
                  <c:v>594.9224094130309</c:v>
                </c:pt>
                <c:pt idx="31">
                  <c:v>561.1280540012108</c:v>
                </c:pt>
                <c:pt idx="32">
                  <c:v>528.8122016386578</c:v>
                </c:pt>
                <c:pt idx="33">
                  <c:v>497.9101678169666</c:v>
                </c:pt>
                <c:pt idx="34">
                  <c:v>468.36009797497434</c:v>
                </c:pt>
                <c:pt idx="35">
                  <c:v>440.10284368856924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'vis-graph'!$A$9</c:f>
              <c:strCache>
                <c:ptCount val="1"/>
                <c:pt idx="0">
                  <c:v>-2 SD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/>
            </a:solidFill>
            <a:ln w="28575" cap="rnd" cmpd="sng" algn="ctr">
              <a:solidFill>
                <a:srgbClr val="778A35"/>
              </a:solidFill>
              <a:prstDash val="solid"/>
              <a:round/>
            </a:ln>
          </c:spPr>
          <c:marker>
            <c:symbol val="none"/>
          </c:marker>
          <c:cat>
            <c:strRef>
              <c:f>'vis-graph'!$B$4:$AK$4</c:f>
              <c:strCache>
                <c:ptCount val="3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2030</c:v>
                </c:pt>
                <c:pt idx="27">
                  <c:v>2035</c:v>
                </c:pt>
                <c:pt idx="28">
                  <c:v>2040</c:v>
                </c:pt>
                <c:pt idx="29">
                  <c:v>2045</c:v>
                </c:pt>
                <c:pt idx="30">
                  <c:v>2050</c:v>
                </c:pt>
                <c:pt idx="31">
                  <c:v>2055</c:v>
                </c:pt>
                <c:pt idx="32">
                  <c:v>2060</c:v>
                </c:pt>
                <c:pt idx="33">
                  <c:v>2065</c:v>
                </c:pt>
                <c:pt idx="34">
                  <c:v>2070</c:v>
                </c:pt>
                <c:pt idx="35">
                  <c:v>2075</c:v>
                </c:pt>
              </c:strCache>
            </c:strRef>
          </c:cat>
          <c:val>
            <c:numRef>
              <c:f>'vis-graph'!$B$9:$AK$9</c:f>
              <c:numCache>
                <c:formatCode>#,##0</c:formatCode>
                <c:ptCount val="36"/>
                <c:pt idx="0">
                  <c:v>661.96</c:v>
                </c:pt>
                <c:pt idx="1">
                  <c:v>657.6800000000001</c:v>
                </c:pt>
                <c:pt idx="2">
                  <c:v>653.4000000000001</c:v>
                </c:pt>
                <c:pt idx="3">
                  <c:v>649.1200000000001</c:v>
                </c:pt>
                <c:pt idx="4">
                  <c:v>644.8400000000001</c:v>
                </c:pt>
                <c:pt idx="5">
                  <c:v>640.5600000000002</c:v>
                </c:pt>
                <c:pt idx="6">
                  <c:v>636.2800000000002</c:v>
                </c:pt>
                <c:pt idx="7">
                  <c:v>632.0000000000002</c:v>
                </c:pt>
                <c:pt idx="8">
                  <c:v>627.7200000000003</c:v>
                </c:pt>
                <c:pt idx="9">
                  <c:v>623.4400000000003</c:v>
                </c:pt>
                <c:pt idx="10">
                  <c:v>619.1600000000003</c:v>
                </c:pt>
                <c:pt idx="11">
                  <c:v>614.8800000000003</c:v>
                </c:pt>
                <c:pt idx="12">
                  <c:v>610.6000000000004</c:v>
                </c:pt>
                <c:pt idx="13">
                  <c:v>606.3200000000004</c:v>
                </c:pt>
                <c:pt idx="14">
                  <c:v>602.0400000000004</c:v>
                </c:pt>
                <c:pt idx="15">
                  <c:v>597.7600000000004</c:v>
                </c:pt>
                <c:pt idx="16">
                  <c:v>593.4800000000005</c:v>
                </c:pt>
                <c:pt idx="17">
                  <c:v>589.2000000000005</c:v>
                </c:pt>
                <c:pt idx="18">
                  <c:v>584.9200000000005</c:v>
                </c:pt>
                <c:pt idx="19">
                  <c:v>580.6400000000006</c:v>
                </c:pt>
                <c:pt idx="20">
                  <c:v>576.3600000000006</c:v>
                </c:pt>
                <c:pt idx="21">
                  <c:v>572.0800000000006</c:v>
                </c:pt>
                <c:pt idx="22">
                  <c:v>567.8000000000006</c:v>
                </c:pt>
                <c:pt idx="23">
                  <c:v>563.5200000000007</c:v>
                </c:pt>
                <c:pt idx="24">
                  <c:v>559.2400000000007</c:v>
                </c:pt>
                <c:pt idx="25">
                  <c:v>554.96</c:v>
                </c:pt>
                <c:pt idx="26">
                  <c:v>532.665</c:v>
                </c:pt>
                <c:pt idx="27">
                  <c:v>510.91622750000005</c:v>
                </c:pt>
                <c:pt idx="28">
                  <c:v>489.7002999262501</c:v>
                </c:pt>
                <c:pt idx="29">
                  <c:v>452.7429118044767</c:v>
                </c:pt>
                <c:pt idx="30">
                  <c:v>417.40240941303085</c:v>
                </c:pt>
                <c:pt idx="31">
                  <c:v>383.60805400121075</c:v>
                </c:pt>
                <c:pt idx="32">
                  <c:v>351.2922016386578</c:v>
                </c:pt>
                <c:pt idx="33">
                  <c:v>320.39016781696654</c:v>
                </c:pt>
                <c:pt idx="34">
                  <c:v>290.8400979749743</c:v>
                </c:pt>
                <c:pt idx="35">
                  <c:v>262.5828436885692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2140841951"/>
        <c:axId val="2140841952"/>
      </c:lineChart>
      <c:catAx>
        <c:axId val="214084195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high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13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952"/>
        <c:crosses val="autoZero"/>
        <c:auto val="1"/>
        <c:lblAlgn val="ctr"/>
        <c:lblOffset val="100"/>
        <c:tickMarkSkip val="1"/>
        <c:noMultiLvlLbl val="0"/>
      </c:catAx>
      <c:valAx>
        <c:axId val="214084195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3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95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>
        <c:manualLayout/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1002769" y="2710725"/>
      <a:ext cx="14798144" cy="482195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41</xdr:row>
      <xdr:rowOff>28221</xdr:rowOff>
    </xdr:from>
    <xdr:ext cx="5248274" cy="3443042"/>
    <xdr:pic>
      <xdr:nvPicPr>
        <xdr:cNvPr id="1156434212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0" y="7318021"/>
          <a:ext cx="5248274" cy="3443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94191</xdr:colOff>
      <xdr:row>66</xdr:row>
      <xdr:rowOff>103716</xdr:rowOff>
    </xdr:from>
    <xdr:to>
      <xdr:col>10</xdr:col>
      <xdr:colOff>321380</xdr:colOff>
      <xdr:row>88</xdr:row>
      <xdr:rowOff>87841</xdr:rowOff>
    </xdr:to>
    <xdr:graphicFrame>
      <xdr:nvGraphicFramePr>
        <xdr:cNvPr id="2123694983" name=""/>
        <xdr:cNvGraphicFramePr>
          <a:graphicFrameLocks xmlns:a="http://schemas.openxmlformats.org/drawingml/2006/main"/>
        </xdr:cNvGraphicFramePr>
      </xdr:nvGraphicFramePr>
      <xdr:xfrm rot="0">
        <a:off x="94191" y="11745383"/>
        <a:ext cx="8418688" cy="386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37</xdr:row>
      <xdr:rowOff>57150</xdr:rowOff>
    </xdr:from>
    <xdr:ext cx="6480271" cy="3584220"/>
    <xdr:pic>
      <xdr:nvPicPr>
        <xdr:cNvPr id="1338698644" name=""/>
        <xdr:cNvPicPr>
          <a:picLocks noChangeAspect="1"/>
        </xdr:cNvPicPr>
      </xdr:nvPicPr>
      <xdr:blipFill rotWithShape="1">
        <a:blip r:embed="rId2"/>
        <a:stretch/>
      </xdr:blipFill>
      <xdr:spPr bwMode="auto">
        <a:xfrm flipH="0" flipV="0">
          <a:off x="0" y="6635749"/>
          <a:ext cx="6480273" cy="358422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1002769</xdr:colOff>
      <xdr:row>14</xdr:row>
      <xdr:rowOff>54308</xdr:rowOff>
    </xdr:from>
    <xdr:to>
      <xdr:col>37</xdr:col>
      <xdr:colOff>597957</xdr:colOff>
      <xdr:row>41</xdr:row>
      <xdr:rowOff>13226</xdr:rowOff>
    </xdr:to>
    <xdr:graphicFrame>
      <xdr:nvGraphicFramePr>
        <xdr:cNvPr id="1849995512" name=""/>
        <xdr:cNvGraphicFramePr>
          <a:graphicFrameLocks xmlns:a="http://schemas.openxmlformats.org/drawingml/2006/main"/>
        </xdr:cNvGraphicFramePr>
      </xdr:nvGraphicFramePr>
      <xdr:xfrm rot="0">
        <a:off x="1002769" y="2710725"/>
        <a:ext cx="14798144" cy="482195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9.8125"/>
    <col bestFit="1" customWidth="1" min="2" max="2" width="9.18359375"/>
    <col bestFit="1" customWidth="1" min="3" max="4" width="12.5625"/>
    <col bestFit="1" customWidth="1" min="5" max="5" width="20.390625"/>
    <col bestFit="1" customWidth="1" min="6" max="6" style="1" width="28.12109375"/>
    <col bestFit="1" min="7" max="7" width="10.1328125"/>
  </cols>
  <sheetData>
    <row r="1" ht="14.2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 ht="14.25">
      <c r="A2" s="5" t="s">
        <v>6</v>
      </c>
      <c r="B2" s="6">
        <v>1997</v>
      </c>
      <c r="C2" s="6">
        <v>1474</v>
      </c>
      <c r="D2" s="7">
        <f t="shared" ref="D2:D30" si="0">$C$33</f>
        <v>985.55172413793105</v>
      </c>
      <c r="E2" s="8">
        <f t="shared" ref="E2:E9" si="1">C2-D2</f>
        <v>488.44827586206895</v>
      </c>
      <c r="F2" s="1">
        <f t="shared" ref="F2:F9" si="2">E2*E2</f>
        <v>238581.7181926278</v>
      </c>
    </row>
    <row r="3" ht="14.25">
      <c r="A3" s="5" t="s">
        <v>7</v>
      </c>
      <c r="B3" s="6">
        <v>1998</v>
      </c>
      <c r="C3" s="6">
        <v>849</v>
      </c>
      <c r="D3" s="9">
        <f t="shared" si="0"/>
        <v>985.55172413793105</v>
      </c>
      <c r="E3" s="8">
        <f t="shared" si="1"/>
        <v>-136.55172413793105</v>
      </c>
      <c r="F3" s="1">
        <f t="shared" si="2"/>
        <v>18646.373365041622</v>
      </c>
    </row>
    <row r="4" ht="14.25">
      <c r="A4" s="5" t="s">
        <v>8</v>
      </c>
      <c r="B4" s="6">
        <v>1999</v>
      </c>
      <c r="C4" s="6">
        <v>862</v>
      </c>
      <c r="D4" s="9">
        <f t="shared" si="0"/>
        <v>985.55172413793105</v>
      </c>
      <c r="E4" s="8">
        <f t="shared" si="1"/>
        <v>-123.55172413793105</v>
      </c>
      <c r="F4" s="1">
        <f t="shared" si="2"/>
        <v>15265.028537455413</v>
      </c>
    </row>
    <row r="5" ht="14.25">
      <c r="A5" s="5" t="s">
        <v>9</v>
      </c>
      <c r="B5" s="6">
        <v>2000</v>
      </c>
      <c r="C5" s="6">
        <v>1017</v>
      </c>
      <c r="D5" s="9">
        <f t="shared" si="0"/>
        <v>985.55172413793105</v>
      </c>
      <c r="E5" s="8">
        <f t="shared" si="1"/>
        <v>31.448275862068954</v>
      </c>
      <c r="F5" s="1">
        <f t="shared" si="2"/>
        <v>988.99405469678879</v>
      </c>
    </row>
    <row r="6" ht="14.25">
      <c r="A6" s="5" t="s">
        <v>10</v>
      </c>
      <c r="B6" s="6">
        <v>2001</v>
      </c>
      <c r="C6" s="6">
        <v>778</v>
      </c>
      <c r="D6" s="9">
        <f t="shared" si="0"/>
        <v>985.55172413793105</v>
      </c>
      <c r="E6" s="8">
        <f t="shared" si="1"/>
        <v>-207.55172413793105</v>
      </c>
      <c r="F6" s="1">
        <f t="shared" si="2"/>
        <v>43077.718192627828</v>
      </c>
    </row>
    <row r="7" ht="14.25">
      <c r="A7" s="5" t="s">
        <v>11</v>
      </c>
      <c r="B7" s="6">
        <v>2002</v>
      </c>
      <c r="C7" s="6">
        <v>1146</v>
      </c>
      <c r="D7" s="9">
        <f t="shared" si="0"/>
        <v>985.55172413793105</v>
      </c>
      <c r="E7" s="8">
        <f t="shared" si="1"/>
        <v>160.44827586206895</v>
      </c>
      <c r="F7" s="1">
        <f t="shared" si="2"/>
        <v>25743.649227110578</v>
      </c>
    </row>
    <row r="8" ht="14.25">
      <c r="A8" s="5" t="s">
        <v>12</v>
      </c>
      <c r="B8" s="6">
        <v>2003</v>
      </c>
      <c r="C8" s="6">
        <v>839</v>
      </c>
      <c r="D8" s="9">
        <f t="shared" si="0"/>
        <v>985.55172413793105</v>
      </c>
      <c r="E8" s="8">
        <f t="shared" si="1"/>
        <v>-146.55172413793105</v>
      </c>
      <c r="F8" s="1">
        <f t="shared" si="2"/>
        <v>21477.407847800241</v>
      </c>
    </row>
    <row r="9" ht="14.25">
      <c r="A9" s="5" t="s">
        <v>13</v>
      </c>
      <c r="B9" s="6">
        <v>2004</v>
      </c>
      <c r="C9" s="6">
        <v>720</v>
      </c>
      <c r="D9" s="9">
        <f t="shared" si="0"/>
        <v>985.55172413793105</v>
      </c>
      <c r="E9" s="8">
        <f t="shared" si="1"/>
        <v>-265.55172413793105</v>
      </c>
      <c r="F9" s="1">
        <f t="shared" si="2"/>
        <v>70517.718192627828</v>
      </c>
    </row>
    <row r="10" ht="14.25">
      <c r="A10" s="5" t="s">
        <v>14</v>
      </c>
      <c r="B10" s="6">
        <v>2005</v>
      </c>
      <c r="C10" s="6">
        <v>1062</v>
      </c>
      <c r="D10" s="9">
        <f t="shared" si="0"/>
        <v>985.55172413793105</v>
      </c>
      <c r="E10" s="8">
        <f t="shared" ref="E10:E30" si="3">C10-D10</f>
        <v>76.448275862068954</v>
      </c>
      <c r="F10" s="1">
        <f t="shared" ref="F10:F30" si="4">E10*E10</f>
        <v>5844.3388822829947</v>
      </c>
    </row>
    <row r="11" ht="14.25">
      <c r="A11" s="5" t="s">
        <v>15</v>
      </c>
      <c r="B11" s="6">
        <v>2006</v>
      </c>
      <c r="C11" s="6">
        <v>824</v>
      </c>
      <c r="D11" s="9">
        <f t="shared" si="0"/>
        <v>985.55172413793105</v>
      </c>
      <c r="E11" s="8">
        <f t="shared" si="3"/>
        <v>-161.55172413793105</v>
      </c>
      <c r="F11" s="1">
        <f t="shared" si="4"/>
        <v>26098.959571938172</v>
      </c>
    </row>
    <row r="12" ht="14.25">
      <c r="A12" s="5" t="s">
        <v>16</v>
      </c>
      <c r="B12" s="6">
        <v>2007</v>
      </c>
      <c r="C12" s="6">
        <v>983</v>
      </c>
      <c r="D12" s="9">
        <f t="shared" si="0"/>
        <v>985.55172413793105</v>
      </c>
      <c r="E12" s="8">
        <f t="shared" si="3"/>
        <v>-2.5517241379310462</v>
      </c>
      <c r="F12" s="1">
        <f t="shared" si="4"/>
        <v>6.5112960760999412</v>
      </c>
    </row>
    <row r="13" ht="14.25">
      <c r="A13" s="5" t="s">
        <v>17</v>
      </c>
      <c r="B13" s="6">
        <v>2008</v>
      </c>
      <c r="C13" s="6">
        <v>1052</v>
      </c>
      <c r="D13" s="9">
        <f t="shared" si="0"/>
        <v>985.55172413793105</v>
      </c>
      <c r="E13" s="8">
        <f t="shared" si="3"/>
        <v>66.448275862068954</v>
      </c>
      <c r="F13" s="1">
        <f t="shared" si="4"/>
        <v>4415.3733650416152</v>
      </c>
    </row>
    <row r="14" ht="14.25">
      <c r="A14" s="5" t="s">
        <v>18</v>
      </c>
      <c r="B14" s="6">
        <v>2009</v>
      </c>
      <c r="C14" s="6">
        <v>983</v>
      </c>
      <c r="D14" s="9">
        <f t="shared" si="0"/>
        <v>985.55172413793105</v>
      </c>
      <c r="E14" s="8">
        <f t="shared" si="3"/>
        <v>-2.5517241379310462</v>
      </c>
      <c r="F14" s="1">
        <f t="shared" si="4"/>
        <v>6.5112960760999412</v>
      </c>
    </row>
    <row r="15" ht="14.25">
      <c r="A15" s="5" t="s">
        <v>19</v>
      </c>
      <c r="B15" s="6">
        <v>2010</v>
      </c>
      <c r="C15" s="6">
        <v>870</v>
      </c>
      <c r="D15" s="9">
        <f t="shared" si="0"/>
        <v>985.55172413793105</v>
      </c>
      <c r="E15" s="8">
        <f t="shared" si="3"/>
        <v>-115.55172413793105</v>
      </c>
      <c r="F15" s="1">
        <f t="shared" si="4"/>
        <v>13352.200951248517</v>
      </c>
    </row>
    <row r="16" ht="14.25">
      <c r="A16" s="5" t="s">
        <v>20</v>
      </c>
      <c r="B16" s="6">
        <v>2011</v>
      </c>
      <c r="C16" s="6">
        <v>1090</v>
      </c>
      <c r="D16" s="9">
        <f t="shared" si="0"/>
        <v>985.55172413793105</v>
      </c>
      <c r="E16" s="8">
        <f t="shared" si="3"/>
        <v>104.44827586206895</v>
      </c>
      <c r="F16" s="1">
        <f t="shared" si="4"/>
        <v>10909.442330558855</v>
      </c>
    </row>
    <row r="17" ht="14.25">
      <c r="A17" s="5" t="s">
        <v>21</v>
      </c>
      <c r="B17" s="6">
        <v>2012</v>
      </c>
      <c r="C17" s="6">
        <v>1333</v>
      </c>
      <c r="D17" s="9">
        <f t="shared" si="0"/>
        <v>985.55172413793105</v>
      </c>
      <c r="E17" s="8">
        <f t="shared" si="3"/>
        <v>347.44827586206895</v>
      </c>
      <c r="F17" s="1">
        <f t="shared" si="4"/>
        <v>120720.30439952436</v>
      </c>
    </row>
    <row r="18" ht="14.25">
      <c r="A18" s="5" t="s">
        <v>22</v>
      </c>
      <c r="B18" s="6">
        <v>2013</v>
      </c>
      <c r="C18" s="6">
        <v>889</v>
      </c>
      <c r="D18" s="9">
        <f t="shared" si="0"/>
        <v>985.55172413793105</v>
      </c>
      <c r="E18" s="8">
        <f t="shared" si="3"/>
        <v>-96.551724137931046</v>
      </c>
      <c r="F18" s="1">
        <f t="shared" si="4"/>
        <v>9322.2354340071361</v>
      </c>
    </row>
    <row r="19" ht="14.25">
      <c r="A19" s="5" t="s">
        <v>23</v>
      </c>
      <c r="B19" s="6">
        <v>2014</v>
      </c>
      <c r="C19" s="6">
        <v>1084</v>
      </c>
      <c r="D19" s="9">
        <f t="shared" si="0"/>
        <v>985.55172413793105</v>
      </c>
      <c r="E19" s="8">
        <f t="shared" si="3"/>
        <v>98.448275862068954</v>
      </c>
      <c r="F19" s="1">
        <f t="shared" si="4"/>
        <v>9692.0630202140292</v>
      </c>
    </row>
    <row r="20" ht="14.25">
      <c r="A20" s="5" t="s">
        <v>24</v>
      </c>
      <c r="B20" s="6">
        <v>2015</v>
      </c>
      <c r="C20" s="6">
        <v>827</v>
      </c>
      <c r="D20" s="9">
        <f t="shared" si="0"/>
        <v>985.55172413793105</v>
      </c>
      <c r="E20" s="8">
        <f t="shared" si="3"/>
        <v>-158.55172413793105</v>
      </c>
      <c r="F20" s="1">
        <f t="shared" si="4"/>
        <v>25138.649227110585</v>
      </c>
    </row>
    <row r="21" ht="14.25">
      <c r="A21" s="5" t="s">
        <v>25</v>
      </c>
      <c r="B21" s="6">
        <v>2016</v>
      </c>
      <c r="C21" s="6">
        <v>1020</v>
      </c>
      <c r="D21" s="9">
        <f t="shared" si="0"/>
        <v>985.55172413793105</v>
      </c>
      <c r="E21" s="8">
        <f t="shared" si="3"/>
        <v>34.448275862068954</v>
      </c>
      <c r="F21" s="1">
        <f t="shared" si="4"/>
        <v>1186.6837098692026</v>
      </c>
    </row>
    <row r="22" ht="14.25">
      <c r="A22" s="5" t="s">
        <v>26</v>
      </c>
      <c r="B22" s="6">
        <v>2017</v>
      </c>
      <c r="C22" s="6">
        <v>884</v>
      </c>
      <c r="D22" s="9">
        <f t="shared" si="0"/>
        <v>985.55172413793105</v>
      </c>
      <c r="E22" s="8">
        <f t="shared" si="3"/>
        <v>-101.55172413793105</v>
      </c>
      <c r="F22" s="1">
        <f t="shared" si="4"/>
        <v>10312.752675386448</v>
      </c>
    </row>
    <row r="23" ht="14.25">
      <c r="A23" s="5" t="s">
        <v>27</v>
      </c>
      <c r="B23" s="6">
        <v>2018</v>
      </c>
      <c r="C23" s="6">
        <v>1300</v>
      </c>
      <c r="D23" s="9">
        <f t="shared" si="0"/>
        <v>985.55172413793105</v>
      </c>
      <c r="E23" s="8">
        <f t="shared" si="3"/>
        <v>314.44827586206895</v>
      </c>
      <c r="F23" s="1">
        <f t="shared" si="4"/>
        <v>98877.718192627814</v>
      </c>
    </row>
    <row r="24" ht="14.25">
      <c r="A24" s="5" t="s">
        <v>28</v>
      </c>
      <c r="B24" s="6">
        <v>2019</v>
      </c>
      <c r="C24" s="6">
        <v>1170</v>
      </c>
      <c r="D24" s="9">
        <f t="shared" si="0"/>
        <v>985.55172413793105</v>
      </c>
      <c r="E24" s="8">
        <f t="shared" si="3"/>
        <v>184.44827586206895</v>
      </c>
      <c r="F24" s="1">
        <f t="shared" si="4"/>
        <v>34021.166468489886</v>
      </c>
    </row>
    <row r="25" ht="14.25">
      <c r="A25" s="5" t="s">
        <v>29</v>
      </c>
      <c r="B25" s="6">
        <v>2020</v>
      </c>
      <c r="C25" s="6">
        <v>1015</v>
      </c>
      <c r="D25" s="9">
        <f t="shared" si="0"/>
        <v>985.55172413793105</v>
      </c>
      <c r="E25" s="8">
        <f t="shared" si="3"/>
        <v>29.448275862068954</v>
      </c>
      <c r="F25" s="1">
        <f t="shared" si="4"/>
        <v>867.20095124851298</v>
      </c>
    </row>
    <row r="26" s="0" customFormat="1">
      <c r="A26" s="2" t="s">
        <v>30</v>
      </c>
      <c r="B26" s="6">
        <v>2021</v>
      </c>
      <c r="C26" s="10">
        <v>791</v>
      </c>
      <c r="D26" s="9">
        <f t="shared" si="0"/>
        <v>985.55172413793105</v>
      </c>
      <c r="E26" s="8">
        <f t="shared" si="3"/>
        <v>-194.55172413793105</v>
      </c>
      <c r="F26" s="1">
        <f t="shared" si="4"/>
        <v>37850.373365041625</v>
      </c>
      <c r="G26"/>
      <c r="H26"/>
      <c r="I26"/>
    </row>
    <row r="27" ht="14.25">
      <c r="A27" s="5" t="s">
        <v>31</v>
      </c>
      <c r="B27" s="6">
        <v>2022</v>
      </c>
      <c r="C27" s="6">
        <v>961</v>
      </c>
      <c r="D27" s="9">
        <f t="shared" si="0"/>
        <v>985.55172413793105</v>
      </c>
      <c r="E27" s="8">
        <f t="shared" si="3"/>
        <v>-24.551724137931046</v>
      </c>
      <c r="F27" s="1">
        <f t="shared" si="4"/>
        <v>602.78715814506597</v>
      </c>
    </row>
    <row r="28" ht="14.25">
      <c r="A28" s="5" t="s">
        <v>32</v>
      </c>
      <c r="B28" s="6">
        <v>2023</v>
      </c>
      <c r="C28" s="6">
        <v>1037</v>
      </c>
      <c r="D28" s="9">
        <f t="shared" si="0"/>
        <v>985.55172413793105</v>
      </c>
      <c r="E28" s="8">
        <f t="shared" si="3"/>
        <v>51.448275862068954</v>
      </c>
      <c r="F28" s="1">
        <f t="shared" si="4"/>
        <v>2646.9250891795468</v>
      </c>
    </row>
    <row r="29" ht="14.25">
      <c r="A29" s="5" t="s">
        <v>33</v>
      </c>
      <c r="B29" s="6">
        <v>2024</v>
      </c>
      <c r="C29" s="6">
        <v>811</v>
      </c>
      <c r="D29" s="9">
        <f t="shared" si="0"/>
        <v>985.55172413793105</v>
      </c>
      <c r="E29" s="8">
        <f t="shared" si="3"/>
        <v>-174.55172413793105</v>
      </c>
      <c r="F29" s="1">
        <f t="shared" si="4"/>
        <v>30468.304399524379</v>
      </c>
    </row>
    <row r="30" ht="14.25">
      <c r="A30" s="5" t="s">
        <v>34</v>
      </c>
      <c r="B30" s="6">
        <v>2025</v>
      </c>
      <c r="C30" s="6">
        <v>910</v>
      </c>
      <c r="D30" s="9">
        <f t="shared" si="0"/>
        <v>985.55172413793105</v>
      </c>
      <c r="E30" s="8">
        <f t="shared" si="3"/>
        <v>-75.551724137931046</v>
      </c>
      <c r="F30" s="1">
        <f t="shared" si="4"/>
        <v>5708.0630202140328</v>
      </c>
    </row>
    <row r="31" ht="14.25">
      <c r="C31" s="11"/>
      <c r="D31" s="12"/>
      <c r="E31" s="1"/>
      <c r="F31" s="1"/>
    </row>
    <row r="32" ht="14.25">
      <c r="C32" s="13" t="s">
        <v>3</v>
      </c>
      <c r="F32" s="14" t="s">
        <v>35</v>
      </c>
    </row>
    <row r="33" ht="14.25">
      <c r="A33" s="15"/>
      <c r="C33" s="16">
        <f>AVERAGE(C2:C30)</f>
        <v>985.55172413793105</v>
      </c>
      <c r="F33" s="17">
        <f>SUM(F2:F30)</f>
        <v>882347.17241379304</v>
      </c>
    </row>
    <row r="34" ht="14.25">
      <c r="F34" s="18" t="s">
        <v>36</v>
      </c>
    </row>
    <row r="35" ht="14.25">
      <c r="F35" s="17">
        <f>COUNTA(B2:B30)-1</f>
        <v>28</v>
      </c>
    </row>
    <row r="36" ht="14.25">
      <c r="F36" s="18" t="s">
        <v>37</v>
      </c>
    </row>
    <row r="37" ht="14.25">
      <c r="F37" s="17">
        <f>F33/F35</f>
        <v>31512.399014778322</v>
      </c>
    </row>
    <row r="38" ht="14.25">
      <c r="F38" s="18" t="s">
        <v>38</v>
      </c>
    </row>
    <row r="39" ht="14.25">
      <c r="E39" s="19" t="s">
        <v>39</v>
      </c>
      <c r="F39" s="20">
        <f>SQRT(F37)</f>
        <v>177.51732032333726</v>
      </c>
      <c r="G39" s="21" t="s">
        <v>40</v>
      </c>
    </row>
    <row r="40" ht="14.25">
      <c r="E40" s="22" t="s">
        <v>41</v>
      </c>
      <c r="F40" s="23">
        <f>F39/C33</f>
        <v>0.18011974001528219</v>
      </c>
      <c r="G40" s="24" t="s">
        <v>42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140625"/>
    <col bestFit="1" min="2" max="2" width="12.5625"/>
    <col bestFit="1" min="3" max="3" width="12.140625"/>
    <col bestFit="1" min="4" max="4" width="12.5625"/>
    <col bestFit="1" min="5" max="5" width="11.40234375"/>
    <col bestFit="1" min="6" max="6" width="13.94140625"/>
    <col bestFit="1" min="7" max="7" width="26.11328125"/>
    <col bestFit="1" min="8" max="8" width="22.40234375"/>
  </cols>
  <sheetData>
    <row r="1" ht="14.25">
      <c r="A1" s="25" t="s">
        <v>43</v>
      </c>
      <c r="B1" s="25"/>
      <c r="C1" s="25"/>
      <c r="D1" s="25"/>
      <c r="E1" s="25"/>
      <c r="F1" s="25"/>
      <c r="G1" s="25"/>
      <c r="H1" s="25"/>
    </row>
    <row r="2" ht="14.25">
      <c r="A2" s="2" t="s">
        <v>1</v>
      </c>
      <c r="B2" s="2" t="s">
        <v>2</v>
      </c>
      <c r="C2" s="2" t="s">
        <v>44</v>
      </c>
      <c r="D2" s="3" t="s">
        <v>3</v>
      </c>
      <c r="E2" s="2" t="s">
        <v>45</v>
      </c>
      <c r="F2" s="4" t="s">
        <v>4</v>
      </c>
      <c r="G2" s="4" t="s">
        <v>46</v>
      </c>
      <c r="H2" s="26" t="s">
        <v>47</v>
      </c>
    </row>
    <row r="3" ht="14.25">
      <c r="A3" s="6">
        <v>2000</v>
      </c>
      <c r="B3" s="6">
        <v>1406.9000000000001</v>
      </c>
      <c r="C3" s="27">
        <f t="shared" ref="C3:C32" si="5">$A$8</f>
        <v>2035.3333333333333</v>
      </c>
      <c r="D3" s="9">
        <f t="shared" ref="D3:D32" si="6">$B$8</f>
        <v>1166.7333333333333</v>
      </c>
      <c r="E3" s="10">
        <f t="shared" ref="E3:E5" si="7">A3-C3</f>
        <v>-35.333333333333258</v>
      </c>
      <c r="F3" s="8">
        <f t="shared" ref="F3:F5" si="8">B3-D3</f>
        <v>240.16666666666674</v>
      </c>
      <c r="G3" s="8">
        <f t="shared" ref="G3:G5" si="9">F3*E3</f>
        <v>-8485.8888888888741</v>
      </c>
      <c r="H3" s="28">
        <f t="shared" ref="H3:H5" si="10">E3*E3</f>
        <v>1248.4444444444391</v>
      </c>
    </row>
    <row r="4" ht="14.25">
      <c r="A4" s="6">
        <v>2039</v>
      </c>
      <c r="B4" s="6">
        <v>1205</v>
      </c>
      <c r="C4" s="27">
        <f t="shared" si="5"/>
        <v>2035.3333333333333</v>
      </c>
      <c r="D4" s="9">
        <f t="shared" si="6"/>
        <v>1166.7333333333333</v>
      </c>
      <c r="E4" s="10">
        <f t="shared" si="7"/>
        <v>3.6666666666667425</v>
      </c>
      <c r="F4" s="8">
        <f t="shared" si="8"/>
        <v>38.266666666666652</v>
      </c>
      <c r="G4" s="8">
        <f t="shared" si="9"/>
        <v>140.31111111111395</v>
      </c>
      <c r="H4" s="28">
        <f t="shared" si="10"/>
        <v>13.444444444445001</v>
      </c>
    </row>
    <row r="5" ht="14.25">
      <c r="A5" s="6">
        <v>2067</v>
      </c>
      <c r="B5" s="6">
        <v>888.29999999999995</v>
      </c>
      <c r="C5" s="27">
        <f t="shared" si="5"/>
        <v>2035.3333333333333</v>
      </c>
      <c r="D5" s="9">
        <f t="shared" si="6"/>
        <v>1166.7333333333333</v>
      </c>
      <c r="E5" s="10">
        <f t="shared" si="7"/>
        <v>31.666666666666742</v>
      </c>
      <c r="F5" s="8">
        <f t="shared" si="8"/>
        <v>-278.43333333333339</v>
      </c>
      <c r="G5" s="8">
        <f t="shared" si="9"/>
        <v>-8817.0555555555784</v>
      </c>
      <c r="H5" s="28">
        <f t="shared" si="10"/>
        <v>1002.7777777777826</v>
      </c>
    </row>
    <row r="6" ht="14.25">
      <c r="A6" s="11"/>
      <c r="B6" s="11"/>
      <c r="C6" s="29"/>
      <c r="D6" s="12"/>
      <c r="E6" s="29"/>
      <c r="F6" s="1"/>
      <c r="G6" s="30"/>
      <c r="H6" s="31"/>
    </row>
    <row r="7" ht="14.25">
      <c r="A7" s="32" t="s">
        <v>44</v>
      </c>
      <c r="B7" s="33" t="s">
        <v>3</v>
      </c>
      <c r="C7" s="29"/>
      <c r="D7" s="12"/>
      <c r="E7" s="29"/>
      <c r="F7" s="34"/>
      <c r="G7" s="35" t="s">
        <v>48</v>
      </c>
      <c r="H7" s="36" t="s">
        <v>49</v>
      </c>
    </row>
    <row r="8" ht="14.25">
      <c r="A8" s="37">
        <f>AVERAGE(A3:A5)</f>
        <v>2035.3333333333333</v>
      </c>
      <c r="B8" s="38">
        <f>AVERAGE(B3:B5)</f>
        <v>1166.7333333333333</v>
      </c>
      <c r="C8" s="29"/>
      <c r="D8" s="12"/>
      <c r="E8" s="29"/>
      <c r="F8" s="34"/>
      <c r="G8" s="39">
        <f>SUM(G3:G5)</f>
        <v>-17162.633333333339</v>
      </c>
      <c r="H8" s="40">
        <f>SUM(H3:H5)</f>
        <v>2264.666666666667</v>
      </c>
    </row>
    <row r="9" ht="14.25">
      <c r="C9" s="29"/>
      <c r="D9" s="12"/>
      <c r="E9" s="29"/>
      <c r="F9" s="1"/>
      <c r="G9" s="41"/>
      <c r="H9" s="42"/>
    </row>
    <row r="10" ht="14.25">
      <c r="C10" s="29"/>
      <c r="D10" s="12"/>
      <c r="E10" s="29"/>
      <c r="F10" s="34"/>
      <c r="G10" s="43" t="s">
        <v>50</v>
      </c>
      <c r="H10" s="44">
        <f>G8/H8</f>
        <v>-7.578436856049457</v>
      </c>
    </row>
    <row r="11" ht="14.25">
      <c r="C11" s="29"/>
      <c r="D11" s="12"/>
      <c r="E11" s="29"/>
      <c r="F11" s="34"/>
      <c r="G11" s="39" t="s">
        <v>51</v>
      </c>
      <c r="H11" s="45" t="s">
        <v>52</v>
      </c>
    </row>
    <row r="15" ht="14.25">
      <c r="A15" s="25" t="s">
        <v>53</v>
      </c>
      <c r="B15" s="25"/>
      <c r="C15" s="25"/>
      <c r="D15" s="25"/>
      <c r="E15" s="25"/>
      <c r="F15" s="25"/>
      <c r="G15" s="25"/>
      <c r="H15" s="25"/>
    </row>
    <row r="17" ht="14.25">
      <c r="A17" s="2" t="s">
        <v>1</v>
      </c>
      <c r="B17" s="2" t="s">
        <v>2</v>
      </c>
      <c r="C17" s="2" t="s">
        <v>44</v>
      </c>
      <c r="D17" s="3" t="s">
        <v>3</v>
      </c>
      <c r="E17" s="2" t="s">
        <v>45</v>
      </c>
      <c r="F17" s="4" t="s">
        <v>4</v>
      </c>
      <c r="G17" s="4" t="s">
        <v>46</v>
      </c>
      <c r="H17" s="26" t="s">
        <v>47</v>
      </c>
    </row>
    <row r="18" ht="14.25">
      <c r="A18" s="6">
        <v>2000</v>
      </c>
      <c r="B18" s="6">
        <v>1406.9000000000001</v>
      </c>
      <c r="C18" s="27">
        <f t="shared" si="5"/>
        <v>2035.3333333333333</v>
      </c>
      <c r="D18" s="9">
        <f t="shared" si="6"/>
        <v>1166.7333333333333</v>
      </c>
      <c r="E18" s="10">
        <f t="shared" ref="E18:E32" si="11">A18-C18</f>
        <v>-35.333333333333258</v>
      </c>
      <c r="F18" s="8">
        <f t="shared" ref="F18:F32" si="12">B18-D18</f>
        <v>240.16666666666674</v>
      </c>
      <c r="G18" s="8">
        <f t="shared" ref="G18:G19" si="13">F18*E18</f>
        <v>-8485.8888888888741</v>
      </c>
      <c r="H18" s="28">
        <f t="shared" ref="H18:H19" si="14">E18*E18</f>
        <v>1248.4444444444391</v>
      </c>
    </row>
    <row r="19" ht="14.25">
      <c r="A19" s="6">
        <v>2039</v>
      </c>
      <c r="B19" s="6">
        <v>1205</v>
      </c>
      <c r="C19" s="27">
        <f t="shared" si="5"/>
        <v>2035.3333333333333</v>
      </c>
      <c r="D19" s="9">
        <f t="shared" si="6"/>
        <v>1166.7333333333333</v>
      </c>
      <c r="E19" s="10">
        <f t="shared" si="11"/>
        <v>3.6666666666667425</v>
      </c>
      <c r="F19" s="8">
        <f t="shared" si="12"/>
        <v>38.266666666666652</v>
      </c>
      <c r="G19" s="8">
        <f t="shared" si="13"/>
        <v>140.31111111111395</v>
      </c>
      <c r="H19" s="28">
        <f t="shared" si="14"/>
        <v>13.444444444445001</v>
      </c>
    </row>
    <row r="20" ht="14.25">
      <c r="A20" s="11"/>
      <c r="B20" s="11"/>
      <c r="C20" s="29"/>
      <c r="D20" s="12"/>
      <c r="E20" s="29"/>
      <c r="F20" s="1"/>
      <c r="G20" s="30"/>
      <c r="H20" s="31"/>
    </row>
    <row r="21" ht="14.25">
      <c r="A21" s="32" t="s">
        <v>44</v>
      </c>
      <c r="B21" s="33" t="s">
        <v>3</v>
      </c>
      <c r="C21" s="29"/>
      <c r="D21" s="12"/>
      <c r="E21" s="29"/>
      <c r="F21" s="34"/>
      <c r="G21" s="35" t="s">
        <v>48</v>
      </c>
      <c r="H21" s="36" t="s">
        <v>49</v>
      </c>
    </row>
    <row r="22" ht="14.25">
      <c r="A22" s="37">
        <f>AVERAGE(A18:A19)</f>
        <v>2019.5</v>
      </c>
      <c r="B22" s="38">
        <f>AVERAGE(B18:B19)</f>
        <v>1305.95</v>
      </c>
      <c r="C22" s="29"/>
      <c r="D22" s="12"/>
      <c r="E22" s="29"/>
      <c r="F22" s="34"/>
      <c r="G22" s="39">
        <f>SUM(G18:G19)</f>
        <v>-8345.5777777777603</v>
      </c>
      <c r="H22" s="40">
        <f>SUM(H18:H19)</f>
        <v>1261.8888888888841</v>
      </c>
    </row>
    <row r="23" ht="14.25">
      <c r="A23" s="29"/>
      <c r="B23" s="29"/>
      <c r="C23" s="29"/>
      <c r="D23" s="12"/>
      <c r="E23" s="29"/>
      <c r="F23" s="1"/>
      <c r="G23" s="41"/>
      <c r="H23" s="42"/>
    </row>
    <row r="24" ht="14.25">
      <c r="A24" s="29"/>
      <c r="B24" s="29"/>
      <c r="C24" s="29"/>
      <c r="D24" s="12"/>
      <c r="E24" s="29"/>
      <c r="F24" s="34"/>
      <c r="G24" s="43" t="s">
        <v>50</v>
      </c>
      <c r="H24" s="44">
        <f>G22/H22</f>
        <v>-6.6135599189927028</v>
      </c>
    </row>
    <row r="25" ht="14.25">
      <c r="A25" s="29"/>
      <c r="B25" s="29"/>
      <c r="C25" s="29"/>
      <c r="D25" s="12"/>
      <c r="E25" s="29"/>
      <c r="F25" s="34"/>
      <c r="G25" s="39" t="s">
        <v>51</v>
      </c>
      <c r="H25" s="45" t="s">
        <v>52</v>
      </c>
    </row>
    <row r="29" ht="14.25">
      <c r="A29" s="25" t="s">
        <v>54</v>
      </c>
      <c r="B29" s="25"/>
      <c r="C29" s="25"/>
      <c r="D29" s="25"/>
      <c r="E29" s="25"/>
      <c r="F29" s="25"/>
      <c r="G29" s="25"/>
      <c r="H29" s="25"/>
    </row>
    <row r="30" ht="14.25">
      <c r="A30" s="2" t="s">
        <v>1</v>
      </c>
      <c r="B30" s="2" t="s">
        <v>2</v>
      </c>
      <c r="C30" s="2" t="s">
        <v>44</v>
      </c>
      <c r="D30" s="3" t="s">
        <v>3</v>
      </c>
      <c r="E30" s="2" t="s">
        <v>45</v>
      </c>
      <c r="F30" s="4" t="s">
        <v>4</v>
      </c>
      <c r="G30" s="4" t="s">
        <v>46</v>
      </c>
      <c r="H30" s="26" t="s">
        <v>47</v>
      </c>
    </row>
    <row r="31" ht="14.25">
      <c r="A31" s="6">
        <v>2039</v>
      </c>
      <c r="B31" s="6">
        <v>1205</v>
      </c>
      <c r="C31" s="27">
        <f t="shared" si="5"/>
        <v>2035.3333333333333</v>
      </c>
      <c r="D31" s="9">
        <f t="shared" si="6"/>
        <v>1166.7333333333333</v>
      </c>
      <c r="E31" s="10">
        <f t="shared" si="11"/>
        <v>3.6666666666667425</v>
      </c>
      <c r="F31" s="8">
        <f t="shared" si="12"/>
        <v>38.266666666666652</v>
      </c>
      <c r="G31" s="8">
        <f t="shared" ref="G31:G32" si="15">F31*E31</f>
        <v>140.31111111111395</v>
      </c>
      <c r="H31" s="28">
        <f t="shared" ref="H31:H32" si="16">E31*E31</f>
        <v>13.444444444445001</v>
      </c>
    </row>
    <row r="32" ht="14.25">
      <c r="A32" s="6">
        <v>2067</v>
      </c>
      <c r="B32" s="6">
        <v>888.29999999999995</v>
      </c>
      <c r="C32" s="27">
        <f t="shared" si="5"/>
        <v>2035.3333333333333</v>
      </c>
      <c r="D32" s="9">
        <f t="shared" si="6"/>
        <v>1166.7333333333333</v>
      </c>
      <c r="E32" s="10">
        <f t="shared" si="11"/>
        <v>31.666666666666742</v>
      </c>
      <c r="F32" s="8">
        <f t="shared" si="12"/>
        <v>-278.43333333333339</v>
      </c>
      <c r="G32" s="8">
        <f t="shared" si="15"/>
        <v>-8817.0555555555784</v>
      </c>
      <c r="H32" s="28">
        <f t="shared" si="16"/>
        <v>1002.7777777777826</v>
      </c>
    </row>
    <row r="33" ht="14.25">
      <c r="A33" s="11"/>
      <c r="B33" s="11"/>
      <c r="C33" s="29"/>
      <c r="D33" s="12"/>
      <c r="E33" s="29"/>
      <c r="F33" s="1"/>
      <c r="G33" s="30"/>
      <c r="H33" s="31"/>
    </row>
    <row r="34" ht="14.25">
      <c r="A34" s="32" t="s">
        <v>44</v>
      </c>
      <c r="B34" s="33" t="s">
        <v>3</v>
      </c>
      <c r="C34" s="29"/>
      <c r="D34" s="12"/>
      <c r="E34" s="29"/>
      <c r="F34" s="34"/>
      <c r="G34" s="35" t="s">
        <v>48</v>
      </c>
      <c r="H34" s="36" t="s">
        <v>49</v>
      </c>
    </row>
    <row r="35" ht="14.25">
      <c r="A35" s="37">
        <f>AVERAGE(A31:A32)</f>
        <v>2053</v>
      </c>
      <c r="B35" s="38">
        <f>AVERAGE(B31:B32)</f>
        <v>1046.6500000000001</v>
      </c>
      <c r="C35" s="29"/>
      <c r="D35" s="12"/>
      <c r="E35" s="29"/>
      <c r="F35" s="34"/>
      <c r="G35" s="39">
        <f>SUM(G31:G32)</f>
        <v>-8676.7444444444645</v>
      </c>
      <c r="H35" s="40">
        <f>SUM(H31:H32)</f>
        <v>1016.2222222222276</v>
      </c>
    </row>
    <row r="36" ht="14.25">
      <c r="A36" s="29"/>
      <c r="B36" s="29"/>
      <c r="C36" s="29"/>
      <c r="D36" s="12"/>
      <c r="E36" s="29"/>
      <c r="F36" s="1"/>
      <c r="G36" s="41"/>
      <c r="H36" s="42"/>
    </row>
    <row r="37" ht="14.25">
      <c r="A37" s="29"/>
      <c r="B37" s="29"/>
      <c r="C37" s="29"/>
      <c r="D37" s="12"/>
      <c r="E37" s="29"/>
      <c r="F37" s="34"/>
      <c r="G37" s="43" t="s">
        <v>50</v>
      </c>
      <c r="H37" s="44">
        <f>G35/H35</f>
        <v>-8.5382352941176212</v>
      </c>
    </row>
    <row r="38" ht="14.25">
      <c r="A38" s="29"/>
      <c r="B38" s="29"/>
      <c r="C38" s="29"/>
      <c r="D38" s="12"/>
      <c r="E38" s="29"/>
      <c r="F38" s="34"/>
      <c r="G38" s="39" t="s">
        <v>51</v>
      </c>
      <c r="H38" s="45" t="s">
        <v>52</v>
      </c>
    </row>
  </sheetData>
  <mergeCells count="3">
    <mergeCell ref="A1:H1"/>
    <mergeCell ref="A15:H15"/>
    <mergeCell ref="A29:H2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min="1" max="1" width="9.8125"/>
    <col bestFit="1" min="2" max="2" width="12.140625"/>
    <col bestFit="1" min="3" max="3" width="12.5625"/>
    <col bestFit="1" min="4" max="4" width="12.140625"/>
    <col bestFit="1" min="5" max="5" style="12" width="12.5625"/>
    <col bestFit="1" min="6" max="6" width="11.40234375"/>
    <col bestFit="1" min="7" max="7" style="1" width="13.94140625"/>
    <col bestFit="1" customWidth="1" min="8" max="8" style="1" width="26.11328125"/>
    <col bestFit="1" customWidth="1" min="9" max="9" style="46" width="22.40234375"/>
  </cols>
  <sheetData>
    <row r="1" s="47" customFormat="1">
      <c r="A1" s="2" t="s">
        <v>0</v>
      </c>
      <c r="B1" s="2" t="s">
        <v>1</v>
      </c>
      <c r="C1" s="2" t="s">
        <v>2</v>
      </c>
      <c r="D1" s="2" t="s">
        <v>44</v>
      </c>
      <c r="E1" s="3" t="s">
        <v>3</v>
      </c>
      <c r="F1" s="2" t="s">
        <v>45</v>
      </c>
      <c r="G1" s="4" t="s">
        <v>4</v>
      </c>
      <c r="H1" s="4" t="s">
        <v>46</v>
      </c>
      <c r="I1" s="26" t="s">
        <v>47</v>
      </c>
    </row>
    <row r="2">
      <c r="A2" s="5" t="s">
        <v>6</v>
      </c>
      <c r="B2" s="6">
        <v>1997</v>
      </c>
      <c r="C2" s="6">
        <v>1474</v>
      </c>
      <c r="D2" s="6">
        <f t="shared" ref="D2:D30" si="17">$B$33</f>
        <v>2011</v>
      </c>
      <c r="E2" s="7">
        <f t="shared" ref="E2:E30" si="18">$C$33</f>
        <v>985.55172413793105</v>
      </c>
      <c r="F2" s="10">
        <f t="shared" ref="F2:F9" si="19">B2-D2</f>
        <v>-14</v>
      </c>
      <c r="G2" s="8">
        <f t="shared" ref="G2:G9" si="20">C2-E2</f>
        <v>488.44827586206895</v>
      </c>
      <c r="H2" s="8">
        <f t="shared" ref="H2:H9" si="21">G2*F2</f>
        <v>-6838.2758620689656</v>
      </c>
      <c r="I2" s="28">
        <f t="shared" ref="I2:I9" si="22">F2*F2</f>
        <v>196</v>
      </c>
    </row>
    <row r="3">
      <c r="A3" s="5" t="s">
        <v>7</v>
      </c>
      <c r="B3" s="6">
        <v>1998</v>
      </c>
      <c r="C3" s="6">
        <v>849</v>
      </c>
      <c r="D3" s="27">
        <f t="shared" si="17"/>
        <v>2011</v>
      </c>
      <c r="E3" s="9">
        <f t="shared" si="18"/>
        <v>985.55172413793105</v>
      </c>
      <c r="F3" s="10">
        <f t="shared" si="19"/>
        <v>-13</v>
      </c>
      <c r="G3" s="8">
        <f t="shared" si="20"/>
        <v>-136.55172413793105</v>
      </c>
      <c r="H3" s="8">
        <f t="shared" si="21"/>
        <v>1775.1724137931037</v>
      </c>
      <c r="I3" s="28">
        <f t="shared" si="22"/>
        <v>169</v>
      </c>
    </row>
    <row r="4">
      <c r="A4" s="5" t="s">
        <v>8</v>
      </c>
      <c r="B4" s="6">
        <v>1999</v>
      </c>
      <c r="C4" s="6">
        <v>862</v>
      </c>
      <c r="D4" s="27">
        <f t="shared" si="17"/>
        <v>2011</v>
      </c>
      <c r="E4" s="9">
        <f t="shared" si="18"/>
        <v>985.55172413793105</v>
      </c>
      <c r="F4" s="10">
        <f t="shared" si="19"/>
        <v>-12</v>
      </c>
      <c r="G4" s="8">
        <f t="shared" si="20"/>
        <v>-123.55172413793105</v>
      </c>
      <c r="H4" s="8">
        <f t="shared" si="21"/>
        <v>1482.6206896551726</v>
      </c>
      <c r="I4" s="28">
        <f t="shared" si="22"/>
        <v>144</v>
      </c>
    </row>
    <row r="5">
      <c r="A5" s="5" t="s">
        <v>9</v>
      </c>
      <c r="B5" s="6">
        <v>2000</v>
      </c>
      <c r="C5" s="6">
        <v>1017</v>
      </c>
      <c r="D5" s="27">
        <f t="shared" si="17"/>
        <v>2011</v>
      </c>
      <c r="E5" s="9">
        <f t="shared" si="18"/>
        <v>985.55172413793105</v>
      </c>
      <c r="F5" s="10">
        <f t="shared" si="19"/>
        <v>-11</v>
      </c>
      <c r="G5" s="8">
        <f t="shared" si="20"/>
        <v>31.448275862068954</v>
      </c>
      <c r="H5" s="8">
        <f t="shared" si="21"/>
        <v>-345.93103448275849</v>
      </c>
      <c r="I5" s="28">
        <f t="shared" si="22"/>
        <v>121</v>
      </c>
    </row>
    <row r="6">
      <c r="A6" s="5" t="s">
        <v>10</v>
      </c>
      <c r="B6" s="6">
        <v>2001</v>
      </c>
      <c r="C6" s="6">
        <v>778</v>
      </c>
      <c r="D6" s="27">
        <f t="shared" si="17"/>
        <v>2011</v>
      </c>
      <c r="E6" s="9">
        <f t="shared" si="18"/>
        <v>985.55172413793105</v>
      </c>
      <c r="F6" s="10">
        <f t="shared" si="19"/>
        <v>-10</v>
      </c>
      <c r="G6" s="8">
        <f t="shared" si="20"/>
        <v>-207.55172413793105</v>
      </c>
      <c r="H6" s="8">
        <f t="shared" si="21"/>
        <v>2075.5172413793107</v>
      </c>
      <c r="I6" s="28">
        <f t="shared" si="22"/>
        <v>100</v>
      </c>
    </row>
    <row r="7">
      <c r="A7" s="5" t="s">
        <v>11</v>
      </c>
      <c r="B7" s="6">
        <v>2002</v>
      </c>
      <c r="C7" s="6">
        <v>1146</v>
      </c>
      <c r="D7" s="27">
        <f t="shared" si="17"/>
        <v>2011</v>
      </c>
      <c r="E7" s="9">
        <f t="shared" si="18"/>
        <v>985.55172413793105</v>
      </c>
      <c r="F7" s="10">
        <f t="shared" si="19"/>
        <v>-9</v>
      </c>
      <c r="G7" s="8">
        <f t="shared" si="20"/>
        <v>160.44827586206895</v>
      </c>
      <c r="H7" s="8">
        <f t="shared" si="21"/>
        <v>-1444.0344827586205</v>
      </c>
      <c r="I7" s="28">
        <f t="shared" si="22"/>
        <v>81</v>
      </c>
    </row>
    <row r="8">
      <c r="A8" s="5" t="s">
        <v>12</v>
      </c>
      <c r="B8" s="6">
        <v>2003</v>
      </c>
      <c r="C8" s="6">
        <v>839</v>
      </c>
      <c r="D8" s="27">
        <f t="shared" si="17"/>
        <v>2011</v>
      </c>
      <c r="E8" s="9">
        <f t="shared" si="18"/>
        <v>985.55172413793105</v>
      </c>
      <c r="F8" s="10">
        <f t="shared" si="19"/>
        <v>-8</v>
      </c>
      <c r="G8" s="8">
        <f t="shared" si="20"/>
        <v>-146.55172413793105</v>
      </c>
      <c r="H8" s="8">
        <f t="shared" si="21"/>
        <v>1172.4137931034484</v>
      </c>
      <c r="I8" s="28">
        <f t="shared" si="22"/>
        <v>64</v>
      </c>
    </row>
    <row r="9">
      <c r="A9" s="5" t="s">
        <v>13</v>
      </c>
      <c r="B9" s="6">
        <v>2004</v>
      </c>
      <c r="C9" s="6">
        <v>720</v>
      </c>
      <c r="D9" s="27">
        <f t="shared" si="17"/>
        <v>2011</v>
      </c>
      <c r="E9" s="9">
        <f t="shared" si="18"/>
        <v>985.55172413793105</v>
      </c>
      <c r="F9" s="10">
        <f t="shared" si="19"/>
        <v>-7</v>
      </c>
      <c r="G9" s="8">
        <f t="shared" si="20"/>
        <v>-265.55172413793105</v>
      </c>
      <c r="H9" s="8">
        <f t="shared" si="21"/>
        <v>1858.8620689655172</v>
      </c>
      <c r="I9" s="28">
        <f t="shared" si="22"/>
        <v>49</v>
      </c>
    </row>
    <row r="10">
      <c r="A10" s="5" t="s">
        <v>14</v>
      </c>
      <c r="B10" s="6">
        <v>2005</v>
      </c>
      <c r="C10" s="6">
        <v>1062</v>
      </c>
      <c r="D10" s="27">
        <f t="shared" si="17"/>
        <v>2011</v>
      </c>
      <c r="E10" s="9">
        <f t="shared" si="18"/>
        <v>985.55172413793105</v>
      </c>
      <c r="F10" s="10">
        <f t="shared" ref="F10:F30" si="23">B10-D10</f>
        <v>-6</v>
      </c>
      <c r="G10" s="8">
        <f t="shared" ref="G10:G30" si="24">C10-E10</f>
        <v>76.448275862068954</v>
      </c>
      <c r="H10" s="8">
        <f t="shared" ref="H10:H30" si="25">G10*F10</f>
        <v>-458.68965517241372</v>
      </c>
      <c r="I10" s="28">
        <f t="shared" ref="I10:I30" si="26">F10*F10</f>
        <v>36</v>
      </c>
    </row>
    <row r="11">
      <c r="A11" s="5" t="s">
        <v>15</v>
      </c>
      <c r="B11" s="6">
        <v>2006</v>
      </c>
      <c r="C11" s="6">
        <v>824</v>
      </c>
      <c r="D11" s="27">
        <f t="shared" si="17"/>
        <v>2011</v>
      </c>
      <c r="E11" s="9">
        <f t="shared" si="18"/>
        <v>985.55172413793105</v>
      </c>
      <c r="F11" s="10">
        <f t="shared" si="23"/>
        <v>-5</v>
      </c>
      <c r="G11" s="8">
        <f t="shared" si="24"/>
        <v>-161.55172413793105</v>
      </c>
      <c r="H11" s="8">
        <f t="shared" si="25"/>
        <v>807.75862068965523</v>
      </c>
      <c r="I11" s="28">
        <f t="shared" si="26"/>
        <v>25</v>
      </c>
    </row>
    <row r="12">
      <c r="A12" s="5" t="s">
        <v>16</v>
      </c>
      <c r="B12" s="6">
        <v>2007</v>
      </c>
      <c r="C12" s="6">
        <v>983</v>
      </c>
      <c r="D12" s="27">
        <f t="shared" si="17"/>
        <v>2011</v>
      </c>
      <c r="E12" s="9">
        <f t="shared" si="18"/>
        <v>985.55172413793105</v>
      </c>
      <c r="F12" s="10">
        <f t="shared" si="23"/>
        <v>-4</v>
      </c>
      <c r="G12" s="8">
        <f t="shared" si="24"/>
        <v>-2.5517241379310462</v>
      </c>
      <c r="H12" s="8">
        <f t="shared" si="25"/>
        <v>10.206896551724185</v>
      </c>
      <c r="I12" s="28">
        <f t="shared" si="26"/>
        <v>16</v>
      </c>
    </row>
    <row r="13">
      <c r="A13" s="5" t="s">
        <v>17</v>
      </c>
      <c r="B13" s="6">
        <v>2008</v>
      </c>
      <c r="C13" s="6">
        <v>1052</v>
      </c>
      <c r="D13" s="27">
        <f t="shared" si="17"/>
        <v>2011</v>
      </c>
      <c r="E13" s="9">
        <f t="shared" si="18"/>
        <v>985.55172413793105</v>
      </c>
      <c r="F13" s="10">
        <f t="shared" si="23"/>
        <v>-3</v>
      </c>
      <c r="G13" s="8">
        <f t="shared" si="24"/>
        <v>66.448275862068954</v>
      </c>
      <c r="H13" s="8">
        <f t="shared" si="25"/>
        <v>-199.34482758620686</v>
      </c>
      <c r="I13" s="28">
        <f t="shared" si="26"/>
        <v>9</v>
      </c>
    </row>
    <row r="14">
      <c r="A14" s="5" t="s">
        <v>18</v>
      </c>
      <c r="B14" s="6">
        <v>2009</v>
      </c>
      <c r="C14" s="6">
        <v>983</v>
      </c>
      <c r="D14" s="27">
        <f t="shared" si="17"/>
        <v>2011</v>
      </c>
      <c r="E14" s="9">
        <f t="shared" si="18"/>
        <v>985.55172413793105</v>
      </c>
      <c r="F14" s="10">
        <f t="shared" si="23"/>
        <v>-2</v>
      </c>
      <c r="G14" s="8">
        <f t="shared" si="24"/>
        <v>-2.5517241379310462</v>
      </c>
      <c r="H14" s="8">
        <f t="shared" si="25"/>
        <v>5.1034482758620925</v>
      </c>
      <c r="I14" s="28">
        <f t="shared" si="26"/>
        <v>4</v>
      </c>
    </row>
    <row r="15">
      <c r="A15" s="5" t="s">
        <v>19</v>
      </c>
      <c r="B15" s="6">
        <v>2010</v>
      </c>
      <c r="C15" s="6">
        <v>870</v>
      </c>
      <c r="D15" s="27">
        <f t="shared" si="17"/>
        <v>2011</v>
      </c>
      <c r="E15" s="9">
        <f t="shared" si="18"/>
        <v>985.55172413793105</v>
      </c>
      <c r="F15" s="10">
        <f t="shared" si="23"/>
        <v>-1</v>
      </c>
      <c r="G15" s="8">
        <f t="shared" si="24"/>
        <v>-115.55172413793105</v>
      </c>
      <c r="H15" s="8">
        <f t="shared" si="25"/>
        <v>115.55172413793105</v>
      </c>
      <c r="I15" s="28">
        <f t="shared" si="26"/>
        <v>1</v>
      </c>
    </row>
    <row r="16">
      <c r="A16" s="5" t="s">
        <v>20</v>
      </c>
      <c r="B16" s="6">
        <v>2011</v>
      </c>
      <c r="C16" s="6">
        <v>1090</v>
      </c>
      <c r="D16" s="27">
        <f t="shared" si="17"/>
        <v>2011</v>
      </c>
      <c r="E16" s="9">
        <f t="shared" si="18"/>
        <v>985.55172413793105</v>
      </c>
      <c r="F16" s="10">
        <f t="shared" si="23"/>
        <v>0</v>
      </c>
      <c r="G16" s="8">
        <f t="shared" si="24"/>
        <v>104.44827586206895</v>
      </c>
      <c r="H16" s="8">
        <f t="shared" si="25"/>
        <v>0</v>
      </c>
      <c r="I16" s="28">
        <f t="shared" si="26"/>
        <v>0</v>
      </c>
    </row>
    <row r="17">
      <c r="A17" s="5" t="s">
        <v>21</v>
      </c>
      <c r="B17" s="6">
        <v>2012</v>
      </c>
      <c r="C17" s="6">
        <v>1333</v>
      </c>
      <c r="D17" s="27">
        <f t="shared" si="17"/>
        <v>2011</v>
      </c>
      <c r="E17" s="9">
        <f t="shared" si="18"/>
        <v>985.55172413793105</v>
      </c>
      <c r="F17" s="10">
        <f t="shared" si="23"/>
        <v>1</v>
      </c>
      <c r="G17" s="8">
        <f t="shared" si="24"/>
        <v>347.44827586206895</v>
      </c>
      <c r="H17" s="8">
        <f t="shared" si="25"/>
        <v>347.44827586206895</v>
      </c>
      <c r="I17" s="28">
        <f t="shared" si="26"/>
        <v>1</v>
      </c>
    </row>
    <row r="18">
      <c r="A18" s="5" t="s">
        <v>22</v>
      </c>
      <c r="B18" s="6">
        <v>2013</v>
      </c>
      <c r="C18" s="6">
        <v>889</v>
      </c>
      <c r="D18" s="27">
        <f t="shared" si="17"/>
        <v>2011</v>
      </c>
      <c r="E18" s="9">
        <f t="shared" si="18"/>
        <v>985.55172413793105</v>
      </c>
      <c r="F18" s="10">
        <f t="shared" si="23"/>
        <v>2</v>
      </c>
      <c r="G18" s="8">
        <f t="shared" si="24"/>
        <v>-96.551724137931046</v>
      </c>
      <c r="H18" s="8">
        <f t="shared" si="25"/>
        <v>-193.10344827586209</v>
      </c>
      <c r="I18" s="28">
        <f t="shared" si="26"/>
        <v>4</v>
      </c>
    </row>
    <row r="19">
      <c r="A19" s="5" t="s">
        <v>23</v>
      </c>
      <c r="B19" s="6">
        <v>2014</v>
      </c>
      <c r="C19" s="6">
        <v>1084</v>
      </c>
      <c r="D19" s="27">
        <f t="shared" si="17"/>
        <v>2011</v>
      </c>
      <c r="E19" s="9">
        <f t="shared" si="18"/>
        <v>985.55172413793105</v>
      </c>
      <c r="F19" s="10">
        <f t="shared" si="23"/>
        <v>3</v>
      </c>
      <c r="G19" s="8">
        <f t="shared" si="24"/>
        <v>98.448275862068954</v>
      </c>
      <c r="H19" s="8">
        <f t="shared" si="25"/>
        <v>295.34482758620686</v>
      </c>
      <c r="I19" s="28">
        <f t="shared" si="26"/>
        <v>9</v>
      </c>
    </row>
    <row r="20">
      <c r="A20" s="5" t="s">
        <v>24</v>
      </c>
      <c r="B20" s="6">
        <v>2015</v>
      </c>
      <c r="C20" s="6">
        <v>827</v>
      </c>
      <c r="D20" s="27">
        <f t="shared" si="17"/>
        <v>2011</v>
      </c>
      <c r="E20" s="9">
        <f t="shared" si="18"/>
        <v>985.55172413793105</v>
      </c>
      <c r="F20" s="10">
        <f t="shared" si="23"/>
        <v>4</v>
      </c>
      <c r="G20" s="8">
        <f t="shared" si="24"/>
        <v>-158.55172413793105</v>
      </c>
      <c r="H20" s="8">
        <f t="shared" si="25"/>
        <v>-634.20689655172418</v>
      </c>
      <c r="I20" s="28">
        <f t="shared" si="26"/>
        <v>16</v>
      </c>
    </row>
    <row r="21">
      <c r="A21" s="5" t="s">
        <v>25</v>
      </c>
      <c r="B21" s="6">
        <v>2016</v>
      </c>
      <c r="C21" s="6">
        <v>1020</v>
      </c>
      <c r="D21" s="27">
        <f t="shared" si="17"/>
        <v>2011</v>
      </c>
      <c r="E21" s="9">
        <f t="shared" si="18"/>
        <v>985.55172413793105</v>
      </c>
      <c r="F21" s="10">
        <f t="shared" si="23"/>
        <v>5</v>
      </c>
      <c r="G21" s="8">
        <f t="shared" si="24"/>
        <v>34.448275862068954</v>
      </c>
      <c r="H21" s="8">
        <f t="shared" si="25"/>
        <v>172.24137931034477</v>
      </c>
      <c r="I21" s="28">
        <f t="shared" si="26"/>
        <v>25</v>
      </c>
    </row>
    <row r="22">
      <c r="A22" s="5" t="s">
        <v>26</v>
      </c>
      <c r="B22" s="6">
        <v>2017</v>
      </c>
      <c r="C22" s="6">
        <v>884</v>
      </c>
      <c r="D22" s="27">
        <f t="shared" si="17"/>
        <v>2011</v>
      </c>
      <c r="E22" s="9">
        <f t="shared" si="18"/>
        <v>985.55172413793105</v>
      </c>
      <c r="F22" s="10">
        <f t="shared" si="23"/>
        <v>6</v>
      </c>
      <c r="G22" s="8">
        <f t="shared" si="24"/>
        <v>-101.55172413793105</v>
      </c>
      <c r="H22" s="8">
        <f t="shared" si="25"/>
        <v>-609.31034482758628</v>
      </c>
      <c r="I22" s="28">
        <f t="shared" si="26"/>
        <v>36</v>
      </c>
    </row>
    <row r="23">
      <c r="A23" s="5" t="s">
        <v>27</v>
      </c>
      <c r="B23" s="6">
        <v>2018</v>
      </c>
      <c r="C23" s="6">
        <v>1300</v>
      </c>
      <c r="D23" s="27">
        <f t="shared" si="17"/>
        <v>2011</v>
      </c>
      <c r="E23" s="9">
        <f t="shared" si="18"/>
        <v>985.55172413793105</v>
      </c>
      <c r="F23" s="10">
        <f t="shared" si="23"/>
        <v>7</v>
      </c>
      <c r="G23" s="8">
        <f t="shared" si="24"/>
        <v>314.44827586206895</v>
      </c>
      <c r="H23" s="8">
        <f t="shared" si="25"/>
        <v>2201.1379310344828</v>
      </c>
      <c r="I23" s="28">
        <f t="shared" si="26"/>
        <v>49</v>
      </c>
    </row>
    <row r="24">
      <c r="A24" s="5" t="s">
        <v>28</v>
      </c>
      <c r="B24" s="6">
        <v>2019</v>
      </c>
      <c r="C24" s="6">
        <v>1170</v>
      </c>
      <c r="D24" s="27">
        <f t="shared" si="17"/>
        <v>2011</v>
      </c>
      <c r="E24" s="9">
        <f t="shared" si="18"/>
        <v>985.55172413793105</v>
      </c>
      <c r="F24" s="10">
        <f t="shared" si="23"/>
        <v>8</v>
      </c>
      <c r="G24" s="8">
        <f t="shared" si="24"/>
        <v>184.44827586206895</v>
      </c>
      <c r="H24" s="8">
        <f t="shared" si="25"/>
        <v>1475.5862068965516</v>
      </c>
      <c r="I24" s="28">
        <f t="shared" si="26"/>
        <v>64</v>
      </c>
    </row>
    <row r="25">
      <c r="A25" s="5" t="s">
        <v>29</v>
      </c>
      <c r="B25" s="6">
        <v>2020</v>
      </c>
      <c r="C25" s="6">
        <v>1015</v>
      </c>
      <c r="D25" s="27">
        <f t="shared" si="17"/>
        <v>2011</v>
      </c>
      <c r="E25" s="9">
        <f t="shared" si="18"/>
        <v>985.55172413793105</v>
      </c>
      <c r="F25" s="10">
        <f t="shared" si="23"/>
        <v>9</v>
      </c>
      <c r="G25" s="8">
        <f t="shared" si="24"/>
        <v>29.448275862068954</v>
      </c>
      <c r="H25" s="8">
        <f t="shared" si="25"/>
        <v>265.03448275862058</v>
      </c>
      <c r="I25" s="28">
        <f t="shared" si="26"/>
        <v>81</v>
      </c>
    </row>
    <row r="26" s="48" customFormat="1">
      <c r="A26" s="2" t="s">
        <v>30</v>
      </c>
      <c r="B26" s="6">
        <v>2021</v>
      </c>
      <c r="C26" s="10">
        <v>791</v>
      </c>
      <c r="D26" s="27">
        <f t="shared" si="17"/>
        <v>2011</v>
      </c>
      <c r="E26" s="9">
        <f t="shared" si="18"/>
        <v>985.55172413793105</v>
      </c>
      <c r="F26" s="10">
        <f t="shared" si="23"/>
        <v>10</v>
      </c>
      <c r="G26" s="8">
        <f t="shared" si="24"/>
        <v>-194.55172413793105</v>
      </c>
      <c r="H26" s="8">
        <f t="shared" si="25"/>
        <v>-1945.5172413793105</v>
      </c>
      <c r="I26" s="28">
        <f t="shared" si="26"/>
        <v>100</v>
      </c>
    </row>
    <row r="27">
      <c r="A27" s="5" t="s">
        <v>31</v>
      </c>
      <c r="B27" s="6">
        <v>2022</v>
      </c>
      <c r="C27" s="6">
        <v>961</v>
      </c>
      <c r="D27" s="27">
        <f t="shared" si="17"/>
        <v>2011</v>
      </c>
      <c r="E27" s="9">
        <f t="shared" si="18"/>
        <v>985.55172413793105</v>
      </c>
      <c r="F27" s="10">
        <f t="shared" si="23"/>
        <v>11</v>
      </c>
      <c r="G27" s="8">
        <f t="shared" si="24"/>
        <v>-24.551724137931046</v>
      </c>
      <c r="H27" s="8">
        <f t="shared" si="25"/>
        <v>-270.06896551724151</v>
      </c>
      <c r="I27" s="28">
        <f t="shared" si="26"/>
        <v>121</v>
      </c>
    </row>
    <row r="28">
      <c r="A28" s="5" t="s">
        <v>32</v>
      </c>
      <c r="B28" s="6">
        <v>2023</v>
      </c>
      <c r="C28" s="6">
        <v>1037</v>
      </c>
      <c r="D28" s="27">
        <f t="shared" si="17"/>
        <v>2011</v>
      </c>
      <c r="E28" s="9">
        <f t="shared" si="18"/>
        <v>985.55172413793105</v>
      </c>
      <c r="F28" s="10">
        <f t="shared" si="23"/>
        <v>12</v>
      </c>
      <c r="G28" s="8">
        <f t="shared" si="24"/>
        <v>51.448275862068954</v>
      </c>
      <c r="H28" s="8">
        <f t="shared" si="25"/>
        <v>617.37931034482745</v>
      </c>
      <c r="I28" s="28">
        <f t="shared" si="26"/>
        <v>144</v>
      </c>
    </row>
    <row r="29">
      <c r="A29" s="5" t="s">
        <v>33</v>
      </c>
      <c r="B29" s="6">
        <v>2024</v>
      </c>
      <c r="C29" s="6">
        <v>811</v>
      </c>
      <c r="D29" s="27">
        <f t="shared" si="17"/>
        <v>2011</v>
      </c>
      <c r="E29" s="9">
        <f t="shared" si="18"/>
        <v>985.55172413793105</v>
      </c>
      <c r="F29" s="10">
        <f t="shared" si="23"/>
        <v>13</v>
      </c>
      <c r="G29" s="8">
        <f t="shared" si="24"/>
        <v>-174.55172413793105</v>
      </c>
      <c r="H29" s="8">
        <f t="shared" si="25"/>
        <v>-2269.1724137931037</v>
      </c>
      <c r="I29" s="28">
        <f t="shared" si="26"/>
        <v>169</v>
      </c>
    </row>
    <row r="30">
      <c r="A30" s="5" t="s">
        <v>34</v>
      </c>
      <c r="B30" s="6">
        <v>2025</v>
      </c>
      <c r="C30" s="6">
        <v>910</v>
      </c>
      <c r="D30" s="27">
        <f t="shared" si="17"/>
        <v>2011</v>
      </c>
      <c r="E30" s="9">
        <f t="shared" si="18"/>
        <v>985.55172413793105</v>
      </c>
      <c r="F30" s="10">
        <f t="shared" si="23"/>
        <v>14</v>
      </c>
      <c r="G30" s="8">
        <f t="shared" si="24"/>
        <v>-75.551724137931046</v>
      </c>
      <c r="H30" s="8">
        <f t="shared" si="25"/>
        <v>-1057.7241379310346</v>
      </c>
      <c r="I30" s="28">
        <f t="shared" si="26"/>
        <v>196</v>
      </c>
    </row>
    <row r="32" ht="14.25">
      <c r="B32" s="32" t="s">
        <v>44</v>
      </c>
      <c r="C32" s="33" t="s">
        <v>3</v>
      </c>
      <c r="H32" s="49" t="s">
        <v>48</v>
      </c>
      <c r="I32" s="36" t="s">
        <v>49</v>
      </c>
    </row>
    <row r="33" ht="14.25">
      <c r="B33" s="37">
        <f>AVERAGE(B2:B30)</f>
        <v>2011</v>
      </c>
      <c r="C33" s="38">
        <f>AVERAGE(C2:C30)</f>
        <v>985.55172413793105</v>
      </c>
      <c r="H33" s="39">
        <f>SUM(H2:H30)</f>
        <v>-1588.0000000000007</v>
      </c>
      <c r="I33" s="40">
        <f>SUM(I2:I30)</f>
        <v>2030</v>
      </c>
    </row>
    <row r="34" ht="14.25">
      <c r="B34" s="15"/>
      <c r="C34" s="15"/>
    </row>
    <row r="35" ht="14.25">
      <c r="B35" s="15"/>
      <c r="C35" s="15"/>
      <c r="H35" s="50" t="s">
        <v>50</v>
      </c>
      <c r="I35" s="51">
        <f>H33/I33</f>
        <v>-0.78226600985221706</v>
      </c>
    </row>
    <row r="36" ht="14.25">
      <c r="B36" s="15"/>
      <c r="C36" s="15"/>
      <c r="H36" s="39" t="s">
        <v>51</v>
      </c>
      <c r="I36" s="45" t="s">
        <v>52</v>
      </c>
    </row>
    <row r="37" ht="14.25">
      <c r="B37" s="15"/>
      <c r="C37" s="15"/>
      <c r="G37" s="1"/>
    </row>
    <row r="38" ht="14.25">
      <c r="B38" s="15"/>
      <c r="C38" s="15"/>
    </row>
    <row r="39" ht="14.25">
      <c r="B39" s="15"/>
      <c r="C39" s="15"/>
    </row>
    <row r="40" ht="14.25">
      <c r="B40" s="15"/>
      <c r="C40" s="15"/>
    </row>
    <row r="41" ht="14.25">
      <c r="B41" s="15"/>
      <c r="C41" s="15"/>
    </row>
    <row r="42" ht="14.25">
      <c r="B42" s="15"/>
      <c r="C42" s="15"/>
    </row>
    <row r="44" ht="14.25">
      <c r="A44" s="52"/>
    </row>
    <row r="46" ht="14.25">
      <c r="H46" s="1" t="s">
        <v>55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54" width="16.140625"/>
    <col bestFit="1" min="2" max="2" style="53" width="6.421875"/>
    <col bestFit="1" min="3" max="26" style="53" width="6.140625"/>
    <col bestFit="1" min="27" max="36" style="53" width="5.3828125"/>
    <col bestFit="1" min="37" max="37" style="53" width="4.90234375"/>
    <col min="38" max="38" style="53" width="9.140625"/>
    <col bestFit="1" min="39" max="39" style="53" width="12.23046875"/>
    <col bestFit="1" min="40" max="40" style="53" width="14.90234375"/>
    <col min="41" max="16384" style="53" width="9.140625"/>
  </cols>
  <sheetData>
    <row r="1" ht="15">
      <c r="A1" s="54" t="s">
        <v>56</v>
      </c>
      <c r="B1" s="55">
        <v>177.52000000000001</v>
      </c>
      <c r="C1" s="56"/>
      <c r="D1" s="56"/>
      <c r="E1" s="56"/>
      <c r="F1" s="56"/>
    </row>
    <row r="4" s="54" customFormat="1" ht="15">
      <c r="A4" s="54"/>
      <c r="B4" s="54">
        <v>2000</v>
      </c>
      <c r="C4" s="54">
        <v>2001</v>
      </c>
      <c r="D4" s="54">
        <v>2002</v>
      </c>
      <c r="E4" s="54">
        <v>2003</v>
      </c>
      <c r="F4" s="54">
        <v>2004</v>
      </c>
      <c r="G4" s="54">
        <v>2005</v>
      </c>
      <c r="H4" s="54">
        <v>2006</v>
      </c>
      <c r="I4" s="54">
        <v>2007</v>
      </c>
      <c r="J4" s="54">
        <v>2008</v>
      </c>
      <c r="K4" s="54">
        <v>2009</v>
      </c>
      <c r="L4" s="54">
        <v>2010</v>
      </c>
      <c r="M4" s="54">
        <v>2011</v>
      </c>
      <c r="N4" s="54">
        <v>2012</v>
      </c>
      <c r="O4" s="54">
        <v>2013</v>
      </c>
      <c r="P4" s="54">
        <v>2014</v>
      </c>
      <c r="Q4" s="54">
        <v>2015</v>
      </c>
      <c r="R4" s="54">
        <v>2016</v>
      </c>
      <c r="S4" s="54">
        <v>2017</v>
      </c>
      <c r="T4" s="54">
        <v>2018</v>
      </c>
      <c r="U4" s="54">
        <v>2019</v>
      </c>
      <c r="V4" s="54">
        <v>2020</v>
      </c>
      <c r="W4" s="54">
        <v>2021</v>
      </c>
      <c r="X4" s="54">
        <v>2022</v>
      </c>
      <c r="Y4" s="54">
        <v>2023</v>
      </c>
      <c r="Z4" s="54">
        <v>2024</v>
      </c>
      <c r="AA4" s="54">
        <v>2025</v>
      </c>
      <c r="AB4" s="54">
        <v>2030</v>
      </c>
      <c r="AC4" s="54">
        <v>2035</v>
      </c>
      <c r="AD4" s="54">
        <v>2040</v>
      </c>
      <c r="AE4" s="54">
        <v>2045</v>
      </c>
      <c r="AF4" s="54">
        <v>2050</v>
      </c>
      <c r="AG4" s="54">
        <v>2055</v>
      </c>
      <c r="AH4" s="54">
        <v>2060</v>
      </c>
      <c r="AI4" s="54">
        <v>2065</v>
      </c>
      <c r="AJ4" s="54">
        <v>2070</v>
      </c>
      <c r="AK4" s="54">
        <v>2075</v>
      </c>
    </row>
    <row r="5" s="57" customFormat="1" ht="16.5">
      <c r="A5" s="58" t="s">
        <v>57</v>
      </c>
      <c r="B5" s="57">
        <f>B7+$B$1*2</f>
        <v>1372.04</v>
      </c>
      <c r="C5" s="59">
        <f>B5-4.28</f>
        <v>1367.76</v>
      </c>
      <c r="D5" s="59">
        <f>C5-4.28</f>
        <v>1363.48</v>
      </c>
      <c r="E5" s="59">
        <f>D5-4.28</f>
        <v>1359.2</v>
      </c>
      <c r="F5" s="59">
        <f>E5-4.28</f>
        <v>1354.9200000000001</v>
      </c>
      <c r="G5" s="59">
        <f>F5-4.28</f>
        <v>1350.6400000000001</v>
      </c>
      <c r="H5" s="59">
        <f>G5-4.28</f>
        <v>1346.3600000000001</v>
      </c>
      <c r="I5" s="59">
        <f>H5-4.28</f>
        <v>1342.0800000000002</v>
      </c>
      <c r="J5" s="59">
        <f>I5-4.28</f>
        <v>1337.8000000000002</v>
      </c>
      <c r="K5" s="59">
        <f>J5-4.28</f>
        <v>1333.5200000000002</v>
      </c>
      <c r="L5" s="59">
        <f>K5-4.28</f>
        <v>1329.2400000000002</v>
      </c>
      <c r="M5" s="59">
        <f>L5-4.28</f>
        <v>1324.9600000000003</v>
      </c>
      <c r="N5" s="59">
        <f>M5-4.28</f>
        <v>1320.6800000000003</v>
      </c>
      <c r="O5" s="59">
        <f>N5-4.28</f>
        <v>1316.4000000000003</v>
      </c>
      <c r="P5" s="59">
        <f>O5-4.28</f>
        <v>1312.1200000000003</v>
      </c>
      <c r="Q5" s="59">
        <f>P5-4.28</f>
        <v>1307.8400000000004</v>
      </c>
      <c r="R5" s="59">
        <f>Q5-4.28</f>
        <v>1303.5600000000004</v>
      </c>
      <c r="S5" s="59">
        <f>R5-4.28</f>
        <v>1299.2800000000004</v>
      </c>
      <c r="T5" s="59">
        <f>S5-4.28</f>
        <v>1295.0000000000005</v>
      </c>
      <c r="U5" s="59">
        <f>T5-4.28</f>
        <v>1290.7200000000005</v>
      </c>
      <c r="V5" s="59">
        <f>U5-4.28</f>
        <v>1286.4400000000005</v>
      </c>
      <c r="W5" s="59">
        <f>V5-4.28</f>
        <v>1282.1600000000005</v>
      </c>
      <c r="X5" s="59">
        <f>W5-4.28</f>
        <v>1277.8800000000006</v>
      </c>
      <c r="Y5" s="59">
        <f>X5-4.28</f>
        <v>1273.6000000000006</v>
      </c>
      <c r="Z5" s="59">
        <f>Y5-4.28</f>
        <v>1269.3200000000006</v>
      </c>
      <c r="AA5" s="57">
        <f>AA7+$B$1*2</f>
        <v>1265.04</v>
      </c>
      <c r="AB5" s="57">
        <f>AB7+$B$1*2</f>
        <v>1242.7450000000001</v>
      </c>
      <c r="AC5" s="57">
        <f>AC7+$B$1*2</f>
        <v>1220.9962275</v>
      </c>
      <c r="AD5" s="57">
        <f>AD7+$B$1*2</f>
        <v>1199.7802999262501</v>
      </c>
      <c r="AE5" s="57">
        <f>AE7+$B$1*2</f>
        <v>1162.8229118044767</v>
      </c>
      <c r="AF5" s="57">
        <f>AF7+$B$1*2</f>
        <v>1127.4824094130308</v>
      </c>
      <c r="AG5" s="57">
        <f>AG7+$B$1*2</f>
        <v>1093.6880540012107</v>
      </c>
      <c r="AH5" s="57">
        <f>AH7+$B$1*2</f>
        <v>1061.3722016386578</v>
      </c>
      <c r="AI5" s="57">
        <f>AI7+$B$1*2</f>
        <v>1030.4701678169665</v>
      </c>
      <c r="AJ5" s="57">
        <f>AJ7+$B$1*2</f>
        <v>1000.9200979749744</v>
      </c>
      <c r="AK5" s="57">
        <f>AK7+$B$1*2</f>
        <v>972.66284368856918</v>
      </c>
      <c r="AL5" s="57"/>
      <c r="AM5" s="57"/>
      <c r="AN5" s="57"/>
      <c r="AQ5" s="57"/>
    </row>
    <row r="6" s="57" customFormat="1" ht="16.5">
      <c r="A6" s="60" t="s">
        <v>58</v>
      </c>
      <c r="B6" s="57">
        <f>B7+$B$1</f>
        <v>1194.52</v>
      </c>
      <c r="C6" s="59">
        <f>B6-4.28</f>
        <v>1190.24</v>
      </c>
      <c r="D6" s="59">
        <f>C6-4.28</f>
        <v>1185.96</v>
      </c>
      <c r="E6" s="59">
        <f>D6-4.28</f>
        <v>1181.6800000000001</v>
      </c>
      <c r="F6" s="59">
        <f>E6-4.28</f>
        <v>1177.4000000000001</v>
      </c>
      <c r="G6" s="59">
        <f>F6-4.28</f>
        <v>1173.1200000000001</v>
      </c>
      <c r="H6" s="59">
        <f>G6-4.28</f>
        <v>1168.8400000000001</v>
      </c>
      <c r="I6" s="59">
        <f>H6-4.28</f>
        <v>1164.5600000000002</v>
      </c>
      <c r="J6" s="59">
        <f>I6-4.28</f>
        <v>1160.2800000000002</v>
      </c>
      <c r="K6" s="59">
        <f>J6-4.28</f>
        <v>1156.0000000000002</v>
      </c>
      <c r="L6" s="59">
        <f>K6-4.28</f>
        <v>1151.7200000000003</v>
      </c>
      <c r="M6" s="59">
        <f>L6-4.28</f>
        <v>1147.4400000000003</v>
      </c>
      <c r="N6" s="59">
        <f>M6-4.28</f>
        <v>1143.1600000000003</v>
      </c>
      <c r="O6" s="59">
        <f>N6-4.28</f>
        <v>1138.8800000000003</v>
      </c>
      <c r="P6" s="59">
        <f>O6-4.28</f>
        <v>1134.6000000000004</v>
      </c>
      <c r="Q6" s="59">
        <f>P6-4.28</f>
        <v>1130.3200000000004</v>
      </c>
      <c r="R6" s="59">
        <f>Q6-4.28</f>
        <v>1126.0400000000004</v>
      </c>
      <c r="S6" s="59">
        <f>R6-4.28</f>
        <v>1121.7600000000004</v>
      </c>
      <c r="T6" s="59">
        <f>S6-4.28</f>
        <v>1117.4800000000005</v>
      </c>
      <c r="U6" s="59">
        <f>T6-4.28</f>
        <v>1113.2000000000005</v>
      </c>
      <c r="V6" s="59">
        <f>U6-4.28</f>
        <v>1108.9200000000005</v>
      </c>
      <c r="W6" s="59">
        <f>V6-4.28</f>
        <v>1104.6400000000006</v>
      </c>
      <c r="X6" s="59">
        <f>W6-4.28</f>
        <v>1100.3600000000006</v>
      </c>
      <c r="Y6" s="59">
        <f>X6-4.28</f>
        <v>1096.0800000000006</v>
      </c>
      <c r="Z6" s="59">
        <f>Y6-4.28</f>
        <v>1091.8000000000006</v>
      </c>
      <c r="AA6" s="57">
        <f>AA7+$B$1</f>
        <v>1087.52</v>
      </c>
      <c r="AB6" s="57">
        <f>AB7+$B$1</f>
        <v>1065.2250000000001</v>
      </c>
      <c r="AC6" s="57">
        <f>AC7+$B$1</f>
        <v>1043.4762275</v>
      </c>
      <c r="AD6" s="57">
        <f>AD7+$B$1</f>
        <v>1022.2602999262501</v>
      </c>
      <c r="AE6" s="57">
        <f>AE7+$B$1</f>
        <v>985.30291180447671</v>
      </c>
      <c r="AF6" s="57">
        <f>AF7+$B$1</f>
        <v>949.96240941303085</v>
      </c>
      <c r="AG6" s="57">
        <f>AG7+$B$1</f>
        <v>916.16805400121075</v>
      </c>
      <c r="AH6" s="57">
        <f>AH7+$B$1</f>
        <v>883.85220163865779</v>
      </c>
      <c r="AI6" s="57">
        <f>AI7+$B$1</f>
        <v>852.95016781696654</v>
      </c>
      <c r="AJ6" s="57">
        <f>AJ7+$B$1</f>
        <v>823.4000979749743</v>
      </c>
      <c r="AK6" s="57">
        <f>AK7+$B$1</f>
        <v>795.1428436885692</v>
      </c>
      <c r="AL6" s="57"/>
      <c r="AM6" s="57"/>
      <c r="AN6" s="57"/>
    </row>
    <row r="7" s="57" customFormat="1" ht="16.5">
      <c r="A7" s="60" t="s">
        <v>59</v>
      </c>
      <c r="B7" s="57">
        <v>1017</v>
      </c>
      <c r="C7" s="61">
        <v>778</v>
      </c>
      <c r="D7" s="61">
        <v>1146</v>
      </c>
      <c r="E7" s="61">
        <v>839</v>
      </c>
      <c r="F7" s="61">
        <v>720</v>
      </c>
      <c r="G7" s="61">
        <v>1062</v>
      </c>
      <c r="H7" s="61">
        <v>824</v>
      </c>
      <c r="I7" s="61">
        <v>983</v>
      </c>
      <c r="J7" s="61">
        <v>1052</v>
      </c>
      <c r="K7" s="61">
        <v>983</v>
      </c>
      <c r="L7" s="57">
        <v>870</v>
      </c>
      <c r="M7" s="61">
        <v>1090</v>
      </c>
      <c r="N7" s="61">
        <v>1333</v>
      </c>
      <c r="O7" s="61">
        <v>889</v>
      </c>
      <c r="P7" s="61">
        <v>1084</v>
      </c>
      <c r="Q7" s="57">
        <v>827</v>
      </c>
      <c r="R7" s="61">
        <v>1020</v>
      </c>
      <c r="S7" s="61">
        <v>884</v>
      </c>
      <c r="T7" s="61">
        <v>1300</v>
      </c>
      <c r="U7" s="61">
        <v>1170</v>
      </c>
      <c r="V7" s="57">
        <v>1015</v>
      </c>
      <c r="W7" s="59">
        <v>791</v>
      </c>
      <c r="X7" s="59">
        <v>961</v>
      </c>
      <c r="Y7" s="59">
        <v>1037</v>
      </c>
      <c r="Z7" s="59">
        <v>811</v>
      </c>
      <c r="AA7" s="57">
        <v>910</v>
      </c>
      <c r="AB7" s="57">
        <f>AA7*0.9755</f>
        <v>887.70500000000004</v>
      </c>
      <c r="AC7" s="57">
        <f>AB7*0.9755</f>
        <v>865.95622750000007</v>
      </c>
      <c r="AD7" s="57">
        <f>AC7*0.9755</f>
        <v>844.74029992625015</v>
      </c>
      <c r="AE7" s="57">
        <f>AD7*0.95625</f>
        <v>807.78291180447673</v>
      </c>
      <c r="AF7" s="57">
        <f>AE7*0.95625</f>
        <v>772.44240941303087</v>
      </c>
      <c r="AG7" s="57">
        <f>AF7*0.95625</f>
        <v>738.64805400121077</v>
      </c>
      <c r="AH7" s="57">
        <f>AG7*0.95625</f>
        <v>706.33220163865781</v>
      </c>
      <c r="AI7" s="57">
        <f>AH7*0.95625</f>
        <v>675.43016781696656</v>
      </c>
      <c r="AJ7" s="57">
        <f>AI7*0.95625</f>
        <v>645.88009797497432</v>
      </c>
      <c r="AK7" s="57">
        <f>AJ7*0.95625</f>
        <v>617.62284368856922</v>
      </c>
      <c r="AL7" s="57"/>
      <c r="AM7" s="57"/>
      <c r="AN7" s="57"/>
      <c r="AP7" s="57"/>
    </row>
    <row r="8" s="57" customFormat="1" ht="16.5">
      <c r="A8" s="60" t="s">
        <v>60</v>
      </c>
      <c r="B8" s="57">
        <f>B7-$B$1</f>
        <v>839.48000000000002</v>
      </c>
      <c r="C8" s="59">
        <f>B8-4.28</f>
        <v>835.20000000000005</v>
      </c>
      <c r="D8" s="59">
        <f>C8-4.28</f>
        <v>830.92000000000007</v>
      </c>
      <c r="E8" s="59">
        <f>D8-4.28</f>
        <v>826.6400000000001</v>
      </c>
      <c r="F8" s="59">
        <f>E8-4.28</f>
        <v>822.36000000000013</v>
      </c>
      <c r="G8" s="59">
        <f>F8-4.28</f>
        <v>818.08000000000015</v>
      </c>
      <c r="H8" s="59">
        <f>G8-4.28</f>
        <v>813.80000000000018</v>
      </c>
      <c r="I8" s="59">
        <f>H8-4.28</f>
        <v>809.52000000000021</v>
      </c>
      <c r="J8" s="59">
        <f>I8-4.28</f>
        <v>805.24000000000024</v>
      </c>
      <c r="K8" s="59">
        <f>J8-4.28</f>
        <v>800.96000000000026</v>
      </c>
      <c r="L8" s="59">
        <f>K8-4.28</f>
        <v>796.68000000000029</v>
      </c>
      <c r="M8" s="59">
        <f>L8-4.28</f>
        <v>792.40000000000032</v>
      </c>
      <c r="N8" s="59">
        <f>M8-4.28</f>
        <v>788.12000000000035</v>
      </c>
      <c r="O8" s="59">
        <f>N8-4.28</f>
        <v>783.84000000000037</v>
      </c>
      <c r="P8" s="59">
        <f>O8-4.28</f>
        <v>779.5600000000004</v>
      </c>
      <c r="Q8" s="59">
        <f>P8-4.28</f>
        <v>775.28000000000043</v>
      </c>
      <c r="R8" s="59">
        <f>Q8-4.28</f>
        <v>771.00000000000045</v>
      </c>
      <c r="S8" s="59">
        <f>R8-4.28</f>
        <v>766.72000000000048</v>
      </c>
      <c r="T8" s="59">
        <f>S8-4.28</f>
        <v>762.44000000000051</v>
      </c>
      <c r="U8" s="59">
        <f>T8-4.28</f>
        <v>758.16000000000054</v>
      </c>
      <c r="V8" s="59">
        <f>U8-4.28</f>
        <v>753.88000000000056</v>
      </c>
      <c r="W8" s="59">
        <f>V8-4.28</f>
        <v>749.60000000000059</v>
      </c>
      <c r="X8" s="59">
        <f>W8-4.28</f>
        <v>745.32000000000062</v>
      </c>
      <c r="Y8" s="59">
        <f>X8-4.28</f>
        <v>741.04000000000065</v>
      </c>
      <c r="Z8" s="59">
        <f>Y8-4.28</f>
        <v>736.76000000000067</v>
      </c>
      <c r="AA8" s="57">
        <f>AA7-$B$1</f>
        <v>732.48000000000002</v>
      </c>
      <c r="AB8" s="57">
        <f>AB7-$B$1</f>
        <v>710.18500000000006</v>
      </c>
      <c r="AC8" s="57">
        <f>AC7-$B$1</f>
        <v>688.43622750000009</v>
      </c>
      <c r="AD8" s="57">
        <f>AD7-$B$1</f>
        <v>667.22029992625016</v>
      </c>
      <c r="AE8" s="57">
        <f>AE7-$B$1</f>
        <v>630.26291180447674</v>
      </c>
      <c r="AF8" s="57">
        <f>AF7-$B$1</f>
        <v>594.92240941303089</v>
      </c>
      <c r="AG8" s="57">
        <f>AG7-$B$1</f>
        <v>561.12805400121078</v>
      </c>
      <c r="AH8" s="57">
        <f>AH7-$B$1</f>
        <v>528.81220163865783</v>
      </c>
      <c r="AI8" s="57">
        <f>AI7-$B$1</f>
        <v>497.91016781696658</v>
      </c>
      <c r="AJ8" s="57">
        <f>AJ7-$B$1</f>
        <v>468.36009797497434</v>
      </c>
      <c r="AK8" s="57">
        <f>AK7-$B$1</f>
        <v>440.10284368856924</v>
      </c>
      <c r="AL8" s="57"/>
      <c r="AM8" s="57"/>
      <c r="AN8" s="57"/>
    </row>
    <row r="9" s="57" customFormat="1" ht="16.5">
      <c r="A9" s="60" t="s">
        <v>61</v>
      </c>
      <c r="B9" s="57">
        <f>B7-$B$1*2</f>
        <v>661.96000000000004</v>
      </c>
      <c r="C9" s="59">
        <f>B9-4.28</f>
        <v>657.68000000000006</v>
      </c>
      <c r="D9" s="59">
        <f>C9-4.28</f>
        <v>653.40000000000009</v>
      </c>
      <c r="E9" s="59">
        <f>D9-4.28</f>
        <v>649.12000000000012</v>
      </c>
      <c r="F9" s="59">
        <f>E9-4.28</f>
        <v>644.84000000000015</v>
      </c>
      <c r="G9" s="59">
        <f>F9-4.28</f>
        <v>640.56000000000017</v>
      </c>
      <c r="H9" s="59">
        <f>G9-4.28</f>
        <v>636.2800000000002</v>
      </c>
      <c r="I9" s="59">
        <f>H9-4.28</f>
        <v>632.00000000000023</v>
      </c>
      <c r="J9" s="59">
        <f>I9-4.28</f>
        <v>627.72000000000025</v>
      </c>
      <c r="K9" s="59">
        <f>J9-4.28</f>
        <v>623.44000000000028</v>
      </c>
      <c r="L9" s="59">
        <f>K9-4.28</f>
        <v>619.16000000000031</v>
      </c>
      <c r="M9" s="59">
        <f>L9-4.28</f>
        <v>614.88000000000034</v>
      </c>
      <c r="N9" s="59">
        <f>M9-4.28</f>
        <v>610.60000000000036</v>
      </c>
      <c r="O9" s="59">
        <f>N9-4.28</f>
        <v>606.32000000000039</v>
      </c>
      <c r="P9" s="59">
        <f>O9-4.28</f>
        <v>602.04000000000042</v>
      </c>
      <c r="Q9" s="59">
        <f>P9-4.28</f>
        <v>597.76000000000045</v>
      </c>
      <c r="R9" s="59">
        <f>Q9-4.28</f>
        <v>593.48000000000047</v>
      </c>
      <c r="S9" s="59">
        <f>R9-4.28</f>
        <v>589.2000000000005</v>
      </c>
      <c r="T9" s="59">
        <f>S9-4.28</f>
        <v>584.92000000000053</v>
      </c>
      <c r="U9" s="59">
        <f>T9-4.28</f>
        <v>580.64000000000055</v>
      </c>
      <c r="V9" s="59">
        <f>U9-4.28</f>
        <v>576.36000000000058</v>
      </c>
      <c r="W9" s="59">
        <f>V9-4.28</f>
        <v>572.08000000000061</v>
      </c>
      <c r="X9" s="59">
        <f>W9-4.28</f>
        <v>567.80000000000064</v>
      </c>
      <c r="Y9" s="59">
        <f>X9-4.28</f>
        <v>563.52000000000066</v>
      </c>
      <c r="Z9" s="59">
        <f>Y9-4.28</f>
        <v>559.24000000000069</v>
      </c>
      <c r="AA9" s="57">
        <f>AA7-$B$1*2</f>
        <v>554.96000000000004</v>
      </c>
      <c r="AB9" s="57">
        <f>AB7-$B$1*2</f>
        <v>532.66499999999996</v>
      </c>
      <c r="AC9" s="57">
        <f>AC7-$B$1*2</f>
        <v>510.91622750000005</v>
      </c>
      <c r="AD9" s="57">
        <f>AD7-$B$1*2</f>
        <v>489.70029992625012</v>
      </c>
      <c r="AE9" s="57">
        <f>AE7-$B$1*2</f>
        <v>452.74291180447671</v>
      </c>
      <c r="AF9" s="57">
        <f>AF7-$B$1*2</f>
        <v>417.40240941303085</v>
      </c>
      <c r="AG9" s="57">
        <f>AG7-$B$1*2</f>
        <v>383.60805400121075</v>
      </c>
      <c r="AH9" s="57">
        <f>AH7-$B$1*2</f>
        <v>351.29220163865779</v>
      </c>
      <c r="AI9" s="57">
        <f>AI7-$B$1*2</f>
        <v>320.39016781696654</v>
      </c>
      <c r="AJ9" s="57">
        <f>AJ7-$B$1*2</f>
        <v>290.8400979749743</v>
      </c>
      <c r="AK9" s="57">
        <f>AK7-$B$1*2</f>
        <v>262.5828436885692</v>
      </c>
      <c r="AL9" s="57"/>
      <c r="AM9" s="57"/>
      <c r="AN9" s="57"/>
    </row>
    <row r="10" s="57" customFormat="1" ht="15">
      <c r="A10" s="60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M10" s="53">
        <f>14.69/30*-1</f>
        <v>-0.48966666666666664</v>
      </c>
      <c r="AN10" s="53" t="s">
        <v>62</v>
      </c>
    </row>
    <row r="11" ht="15">
      <c r="G11" s="53"/>
      <c r="K11" s="53"/>
      <c r="O11" s="53"/>
      <c r="S11" s="53"/>
      <c r="W11" s="53"/>
      <c r="AA11" s="53"/>
      <c r="AM11" s="53">
        <f>AM10*5</f>
        <v>-2.4483333333333333</v>
      </c>
      <c r="AN11" s="53" t="s">
        <v>63</v>
      </c>
    </row>
    <row r="12" ht="15">
      <c r="G12" s="53"/>
      <c r="H12" s="53"/>
      <c r="I12" s="53"/>
      <c r="J12" s="53"/>
      <c r="K12" s="53"/>
      <c r="O12" s="53"/>
      <c r="S12" s="53"/>
      <c r="W12" s="53"/>
      <c r="AA12" s="53"/>
      <c r="AM12" s="53">
        <f>100+AM11</f>
        <v>97.551666666666662</v>
      </c>
    </row>
    <row r="13" ht="15">
      <c r="A13" s="54"/>
      <c r="B13" s="62"/>
      <c r="C13" s="62"/>
      <c r="D13" s="62"/>
      <c r="E13" s="62"/>
      <c r="F13" s="62"/>
      <c r="G13" s="53"/>
      <c r="H13" s="53"/>
      <c r="I13" s="53"/>
      <c r="J13" s="53"/>
      <c r="K13" s="53"/>
      <c r="O13" s="53"/>
      <c r="S13" s="53"/>
      <c r="V13" s="53"/>
      <c r="W13" s="53"/>
      <c r="X13" s="53"/>
      <c r="Y13" s="53"/>
      <c r="Z13" s="53"/>
      <c r="AA13" s="53"/>
      <c r="AM13" s="53"/>
    </row>
    <row r="14" ht="15">
      <c r="AM14" s="63">
        <f>26.25/30*-1</f>
        <v>-0.875</v>
      </c>
      <c r="AN14" s="53" t="s">
        <v>64</v>
      </c>
    </row>
    <row r="15" ht="15">
      <c r="G15" s="53"/>
      <c r="K15" s="53"/>
      <c r="O15" s="53"/>
      <c r="S15" s="53"/>
      <c r="W15" s="53"/>
      <c r="AA15" s="53"/>
      <c r="AM15" s="63">
        <f>AM14*5</f>
        <v>-4.375</v>
      </c>
      <c r="AN15" s="53" t="s">
        <v>63</v>
      </c>
    </row>
    <row r="16" ht="15">
      <c r="G16" s="53"/>
      <c r="H16" s="53"/>
      <c r="I16" s="53"/>
      <c r="J16" s="53"/>
      <c r="K16" s="53"/>
      <c r="O16" s="53"/>
      <c r="S16" s="53"/>
      <c r="W16" s="53"/>
      <c r="AA16" s="53"/>
    </row>
    <row r="17" ht="15">
      <c r="A17" s="54"/>
      <c r="B17" s="53"/>
      <c r="C17" s="53"/>
      <c r="D17" s="53"/>
      <c r="E17" s="53"/>
      <c r="F17" s="53"/>
      <c r="G17" s="53"/>
      <c r="H17" s="53"/>
      <c r="I17" s="53"/>
      <c r="J17" s="53"/>
      <c r="K17" s="53"/>
      <c r="O17" s="53"/>
      <c r="S17" s="53"/>
      <c r="W17" s="53"/>
      <c r="AA17" s="63"/>
      <c r="AB17" s="63"/>
    </row>
    <row r="18" ht="15">
      <c r="A18" s="54"/>
      <c r="B18" s="53"/>
      <c r="C18" s="53"/>
      <c r="D18" s="53"/>
      <c r="E18" s="53"/>
      <c r="F18" s="53"/>
      <c r="G18" s="64"/>
      <c r="H18" s="64"/>
      <c r="I18" s="64"/>
      <c r="J18" s="64"/>
      <c r="K18" s="64"/>
      <c r="L18" s="65"/>
      <c r="M18" s="65"/>
      <c r="N18" s="65"/>
      <c r="O18" s="65"/>
      <c r="P18" s="65"/>
      <c r="Q18" s="63"/>
      <c r="R18" s="63"/>
      <c r="S18" s="63"/>
      <c r="T18" s="63"/>
      <c r="U18" s="63"/>
    </row>
    <row r="19" ht="15">
      <c r="A19" s="54"/>
      <c r="B19" s="53"/>
      <c r="C19" s="53"/>
      <c r="D19" s="53"/>
      <c r="E19" s="53"/>
      <c r="F19" s="53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3"/>
      <c r="R19" s="63"/>
      <c r="S19" s="63"/>
      <c r="T19" s="63"/>
      <c r="U19" s="63"/>
    </row>
    <row r="20" ht="14.25">
      <c r="L20" s="53"/>
      <c r="M20" s="53"/>
      <c r="N20" s="53"/>
      <c r="O20" s="53"/>
      <c r="P20" s="53"/>
    </row>
    <row r="21" ht="14.25">
      <c r="L21" s="53"/>
      <c r="M21" s="53"/>
      <c r="N21" s="53"/>
      <c r="O21" s="53"/>
      <c r="P21" s="53"/>
    </row>
    <row r="24" ht="409.5">
      <c r="A24" s="67"/>
    </row>
    <row r="29" ht="15">
      <c r="B29" s="53"/>
      <c r="C29" s="53"/>
    </row>
    <row r="30" ht="15">
      <c r="B30" s="53"/>
      <c r="C30" s="53"/>
      <c r="D30" s="53"/>
    </row>
    <row r="31" ht="15">
      <c r="D31" s="5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2026-07-04T14:39:59Z</dcterms:modified>
</cp:coreProperties>
</file>